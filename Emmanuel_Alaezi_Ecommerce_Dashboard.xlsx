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User\OneDrive\Documents\"/>
    </mc:Choice>
  </mc:AlternateContent>
  <bookViews>
    <workbookView xWindow="0" yWindow="0" windowWidth="19200" windowHeight="7180" activeTab="2"/>
  </bookViews>
  <sheets>
    <sheet name="Raw_Data" sheetId="1" r:id="rId1"/>
    <sheet name="Table" sheetId="2" r:id="rId2"/>
    <sheet name="Pivot_Table" sheetId="3" r:id="rId3"/>
    <sheet name="Dashboard" sheetId="4" r:id="rId4"/>
  </sheets>
  <definedNames>
    <definedName name="Slicer_Month">#N/A</definedName>
    <definedName name="Slicer_Product">#N/A</definedName>
    <definedName name="Slicer_Referral_Source">#N/A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Y6" i="2" l="1"/>
  <c r="Y5" i="2"/>
  <c r="Y4" i="2"/>
  <c r="Y3" i="2"/>
  <c r="Y2" i="2"/>
  <c r="X6" i="2"/>
  <c r="X5" i="2"/>
  <c r="X4" i="2"/>
  <c r="X3" i="2"/>
  <c r="X2" i="2"/>
  <c r="W6" i="2"/>
  <c r="W5" i="2"/>
  <c r="W4" i="2"/>
  <c r="W3" i="2"/>
  <c r="W2" i="2"/>
  <c r="H19" i="3" l="1"/>
  <c r="H16" i="3"/>
  <c r="H13" i="3"/>
  <c r="T1201" i="2" l="1"/>
  <c r="T1200" i="2"/>
  <c r="T1199" i="2"/>
  <c r="T1198" i="2"/>
  <c r="T1197" i="2"/>
  <c r="T1196" i="2"/>
  <c r="T1195" i="2"/>
  <c r="T1194" i="2"/>
  <c r="T1193" i="2"/>
  <c r="T1192" i="2"/>
  <c r="T1191" i="2"/>
  <c r="T1190" i="2"/>
  <c r="T1189" i="2"/>
  <c r="T1188" i="2"/>
  <c r="T1187" i="2"/>
  <c r="T1186" i="2"/>
  <c r="T1185" i="2"/>
  <c r="T1184" i="2"/>
  <c r="T1183" i="2"/>
  <c r="T1182" i="2"/>
  <c r="T1181" i="2"/>
  <c r="T1180" i="2"/>
  <c r="T1179" i="2"/>
  <c r="T1178" i="2"/>
  <c r="T1177" i="2"/>
  <c r="T1176" i="2"/>
  <c r="T1175" i="2"/>
  <c r="T1174" i="2"/>
  <c r="T1173" i="2"/>
  <c r="T1172" i="2"/>
  <c r="T1171" i="2"/>
  <c r="T1170" i="2"/>
  <c r="T1169" i="2"/>
  <c r="T1168" i="2"/>
  <c r="T1167" i="2"/>
  <c r="T1166" i="2"/>
  <c r="T1165" i="2"/>
  <c r="T1164" i="2"/>
  <c r="T1163" i="2"/>
  <c r="T1162" i="2"/>
  <c r="T1161" i="2"/>
  <c r="T1160" i="2"/>
  <c r="T1159" i="2"/>
  <c r="T1158" i="2"/>
  <c r="T1157" i="2"/>
  <c r="T1156" i="2"/>
  <c r="T1155" i="2"/>
  <c r="T1154" i="2"/>
  <c r="T1153" i="2"/>
  <c r="T1152" i="2"/>
  <c r="T1151" i="2"/>
  <c r="T1150" i="2"/>
  <c r="T1149" i="2"/>
  <c r="T1148" i="2"/>
  <c r="T1147" i="2"/>
  <c r="T1146" i="2"/>
  <c r="T1145" i="2"/>
  <c r="T1144" i="2"/>
  <c r="T1143" i="2"/>
  <c r="T1142" i="2"/>
  <c r="T1141" i="2"/>
  <c r="T1140" i="2"/>
  <c r="T1139" i="2"/>
  <c r="T1138" i="2"/>
  <c r="T1137" i="2"/>
  <c r="T1136" i="2"/>
  <c r="T1135" i="2"/>
  <c r="T1134" i="2"/>
  <c r="T1133" i="2"/>
  <c r="T1132" i="2"/>
  <c r="T1131" i="2"/>
  <c r="T1130" i="2"/>
  <c r="T1129" i="2"/>
  <c r="T1128" i="2"/>
  <c r="T1127" i="2"/>
  <c r="T1126" i="2"/>
  <c r="T1125" i="2"/>
  <c r="T1124" i="2"/>
  <c r="T1123" i="2"/>
  <c r="T1122" i="2"/>
  <c r="T1121" i="2"/>
  <c r="T1120" i="2"/>
  <c r="T1119" i="2"/>
  <c r="T1118" i="2"/>
  <c r="T1117" i="2"/>
  <c r="T1116" i="2"/>
  <c r="T1115" i="2"/>
  <c r="T1114" i="2"/>
  <c r="T1113" i="2"/>
  <c r="T1112" i="2"/>
  <c r="T1111" i="2"/>
  <c r="T1110" i="2"/>
  <c r="T1109" i="2"/>
  <c r="T1108" i="2"/>
  <c r="T1107" i="2"/>
  <c r="T1106" i="2"/>
  <c r="T1105" i="2"/>
  <c r="T1104" i="2"/>
  <c r="T1103" i="2"/>
  <c r="T1102" i="2"/>
  <c r="T1101" i="2"/>
  <c r="T1100" i="2"/>
  <c r="T1099" i="2"/>
  <c r="T1098" i="2"/>
  <c r="T1097" i="2"/>
  <c r="T1096" i="2"/>
  <c r="T1095" i="2"/>
  <c r="T1094" i="2"/>
  <c r="T1093" i="2"/>
  <c r="T1092" i="2"/>
  <c r="T1091" i="2"/>
  <c r="T1090" i="2"/>
  <c r="T1089" i="2"/>
  <c r="T1088" i="2"/>
  <c r="T1087" i="2"/>
  <c r="T1086" i="2"/>
  <c r="T1085" i="2"/>
  <c r="T1084" i="2"/>
  <c r="T1083" i="2"/>
  <c r="T1082" i="2"/>
  <c r="T1081" i="2"/>
  <c r="T1080" i="2"/>
  <c r="T1079" i="2"/>
  <c r="T1078" i="2"/>
  <c r="T1077" i="2"/>
  <c r="T1076" i="2"/>
  <c r="T1075" i="2"/>
  <c r="T1074" i="2"/>
  <c r="T1073" i="2"/>
  <c r="T1072" i="2"/>
  <c r="T1071" i="2"/>
  <c r="T1070" i="2"/>
  <c r="T1069" i="2"/>
  <c r="T1068" i="2"/>
  <c r="T1067" i="2"/>
  <c r="T1066" i="2"/>
  <c r="T1065" i="2"/>
  <c r="T1064" i="2"/>
  <c r="T1063" i="2"/>
  <c r="T1062" i="2"/>
  <c r="T1061" i="2"/>
  <c r="T1060" i="2"/>
  <c r="T1059" i="2"/>
  <c r="T1058" i="2"/>
  <c r="T1057" i="2"/>
  <c r="T1056" i="2"/>
  <c r="T1055" i="2"/>
  <c r="T1054" i="2"/>
  <c r="T1053" i="2"/>
  <c r="T1052" i="2"/>
  <c r="T1051" i="2"/>
  <c r="T1050" i="2"/>
  <c r="T1049" i="2"/>
  <c r="T1048" i="2"/>
  <c r="T1047" i="2"/>
  <c r="T1046" i="2"/>
  <c r="T1045" i="2"/>
  <c r="T1044" i="2"/>
  <c r="T1043" i="2"/>
  <c r="T1042" i="2"/>
  <c r="T1041" i="2"/>
  <c r="T1040" i="2"/>
  <c r="T1039" i="2"/>
  <c r="T1038" i="2"/>
  <c r="T1037" i="2"/>
  <c r="T1036" i="2"/>
  <c r="T1035" i="2"/>
  <c r="T1034" i="2"/>
  <c r="T1033" i="2"/>
  <c r="T1032" i="2"/>
  <c r="T1031" i="2"/>
  <c r="T1030" i="2"/>
  <c r="T1029" i="2"/>
  <c r="T1028" i="2"/>
  <c r="T1027" i="2"/>
  <c r="T1026" i="2"/>
  <c r="T1025" i="2"/>
  <c r="T1024" i="2"/>
  <c r="T1023" i="2"/>
  <c r="T1022" i="2"/>
  <c r="T1021" i="2"/>
  <c r="T1020" i="2"/>
  <c r="T1019" i="2"/>
  <c r="T1018" i="2"/>
  <c r="T1017" i="2"/>
  <c r="T1016" i="2"/>
  <c r="T1015" i="2"/>
  <c r="T1014" i="2"/>
  <c r="T1013" i="2"/>
  <c r="T1012" i="2"/>
  <c r="T1011" i="2"/>
  <c r="T1010" i="2"/>
  <c r="T1009" i="2"/>
  <c r="T1008" i="2"/>
  <c r="T1007" i="2"/>
  <c r="T1006" i="2"/>
  <c r="T1005" i="2"/>
  <c r="T1004" i="2"/>
  <c r="T1003" i="2"/>
  <c r="T1002" i="2"/>
  <c r="T1001" i="2"/>
  <c r="T1000" i="2"/>
  <c r="T999" i="2"/>
  <c r="T998" i="2"/>
  <c r="T997" i="2"/>
  <c r="T996" i="2"/>
  <c r="T995" i="2"/>
  <c r="T994" i="2"/>
  <c r="T993" i="2"/>
  <c r="T992" i="2"/>
  <c r="T991" i="2"/>
  <c r="T990" i="2"/>
  <c r="T989" i="2"/>
  <c r="T988" i="2"/>
  <c r="T987" i="2"/>
  <c r="T986" i="2"/>
  <c r="T985" i="2"/>
  <c r="T984" i="2"/>
  <c r="T983" i="2"/>
  <c r="T982" i="2"/>
  <c r="T981" i="2"/>
  <c r="T980" i="2"/>
  <c r="T979" i="2"/>
  <c r="T978" i="2"/>
  <c r="T977" i="2"/>
  <c r="T976" i="2"/>
  <c r="T975" i="2"/>
  <c r="T974" i="2"/>
  <c r="T973" i="2"/>
  <c r="T972" i="2"/>
  <c r="T971" i="2"/>
  <c r="T970" i="2"/>
  <c r="T969" i="2"/>
  <c r="T968" i="2"/>
  <c r="T967" i="2"/>
  <c r="T966" i="2"/>
  <c r="T965" i="2"/>
  <c r="T964" i="2"/>
  <c r="T963" i="2"/>
  <c r="T962" i="2"/>
  <c r="T961" i="2"/>
  <c r="T960" i="2"/>
  <c r="T959" i="2"/>
  <c r="T958" i="2"/>
  <c r="T957" i="2"/>
  <c r="T956" i="2"/>
  <c r="T955" i="2"/>
  <c r="T954" i="2"/>
  <c r="T953" i="2"/>
  <c r="T952" i="2"/>
  <c r="T951" i="2"/>
  <c r="T950" i="2"/>
  <c r="T949" i="2"/>
  <c r="T948" i="2"/>
  <c r="T947" i="2"/>
  <c r="T946" i="2"/>
  <c r="T945" i="2"/>
  <c r="T944" i="2"/>
  <c r="T943" i="2"/>
  <c r="T942" i="2"/>
  <c r="T941" i="2"/>
  <c r="T940" i="2"/>
  <c r="T939" i="2"/>
  <c r="T938" i="2"/>
  <c r="T937" i="2"/>
  <c r="T936" i="2"/>
  <c r="T935" i="2"/>
  <c r="T934" i="2"/>
  <c r="T933" i="2"/>
  <c r="T932" i="2"/>
  <c r="T931" i="2"/>
  <c r="T930" i="2"/>
  <c r="T929" i="2"/>
  <c r="T928" i="2"/>
  <c r="T927" i="2"/>
  <c r="T926" i="2"/>
  <c r="T925" i="2"/>
  <c r="T924" i="2"/>
  <c r="T923" i="2"/>
  <c r="T922" i="2"/>
  <c r="T921" i="2"/>
  <c r="T920" i="2"/>
  <c r="T919" i="2"/>
  <c r="T918" i="2"/>
  <c r="T917" i="2"/>
  <c r="T916" i="2"/>
  <c r="T915" i="2"/>
  <c r="T914" i="2"/>
  <c r="T913" i="2"/>
  <c r="T912" i="2"/>
  <c r="T911" i="2"/>
  <c r="T910" i="2"/>
  <c r="T909" i="2"/>
  <c r="T908" i="2"/>
  <c r="T907" i="2"/>
  <c r="T906" i="2"/>
  <c r="T905" i="2"/>
  <c r="T904" i="2"/>
  <c r="T903" i="2"/>
  <c r="T902" i="2"/>
  <c r="T901" i="2"/>
  <c r="T900" i="2"/>
  <c r="T899" i="2"/>
  <c r="T898" i="2"/>
  <c r="T897" i="2"/>
  <c r="T896" i="2"/>
  <c r="T895" i="2"/>
  <c r="T894" i="2"/>
  <c r="T893" i="2"/>
  <c r="T892" i="2"/>
  <c r="T891" i="2"/>
  <c r="T890" i="2"/>
  <c r="T889" i="2"/>
  <c r="T888" i="2"/>
  <c r="T887" i="2"/>
  <c r="T886" i="2"/>
  <c r="T885" i="2"/>
  <c r="T884" i="2"/>
  <c r="T883" i="2"/>
  <c r="T882" i="2"/>
  <c r="T881" i="2"/>
  <c r="T880" i="2"/>
  <c r="T879" i="2"/>
  <c r="T878" i="2"/>
  <c r="T877" i="2"/>
  <c r="T876" i="2"/>
  <c r="T875" i="2"/>
  <c r="T874" i="2"/>
  <c r="T873" i="2"/>
  <c r="T872" i="2"/>
  <c r="T871" i="2"/>
  <c r="T870" i="2"/>
  <c r="T869" i="2"/>
  <c r="T868" i="2"/>
  <c r="T867" i="2"/>
  <c r="T866" i="2"/>
  <c r="T865" i="2"/>
  <c r="T864" i="2"/>
  <c r="T863" i="2"/>
  <c r="T862" i="2"/>
  <c r="T861" i="2"/>
  <c r="T860" i="2"/>
  <c r="T859" i="2"/>
  <c r="T858" i="2"/>
  <c r="T857" i="2"/>
  <c r="T856" i="2"/>
  <c r="T855" i="2"/>
  <c r="T854" i="2"/>
  <c r="T853" i="2"/>
  <c r="T852" i="2"/>
  <c r="T851" i="2"/>
  <c r="T850" i="2"/>
  <c r="T849" i="2"/>
  <c r="T848" i="2"/>
  <c r="T847" i="2"/>
  <c r="T846" i="2"/>
  <c r="T845" i="2"/>
  <c r="T844" i="2"/>
  <c r="T843" i="2"/>
  <c r="T842" i="2"/>
  <c r="T841" i="2"/>
  <c r="T840" i="2"/>
  <c r="T839" i="2"/>
  <c r="T838" i="2"/>
  <c r="T837" i="2"/>
  <c r="T836" i="2"/>
  <c r="T835" i="2"/>
  <c r="T834" i="2"/>
  <c r="T833" i="2"/>
  <c r="T832" i="2"/>
  <c r="T831" i="2"/>
  <c r="T830" i="2"/>
  <c r="T829" i="2"/>
  <c r="T828" i="2"/>
  <c r="T827" i="2"/>
  <c r="T826" i="2"/>
  <c r="T825" i="2"/>
  <c r="T824" i="2"/>
  <c r="T823" i="2"/>
  <c r="T822" i="2"/>
  <c r="T821" i="2"/>
  <c r="T820" i="2"/>
  <c r="T819" i="2"/>
  <c r="T818" i="2"/>
  <c r="T817" i="2"/>
  <c r="T816" i="2"/>
  <c r="T815" i="2"/>
  <c r="T814" i="2"/>
  <c r="T813" i="2"/>
  <c r="T812" i="2"/>
  <c r="T811" i="2"/>
  <c r="T810" i="2"/>
  <c r="T809" i="2"/>
  <c r="T808" i="2"/>
  <c r="T807" i="2"/>
  <c r="T806" i="2"/>
  <c r="T805" i="2"/>
  <c r="T804" i="2"/>
  <c r="T803" i="2"/>
  <c r="T802" i="2"/>
  <c r="T801" i="2"/>
  <c r="T800" i="2"/>
  <c r="T799" i="2"/>
  <c r="T798" i="2"/>
  <c r="T797" i="2"/>
  <c r="T796" i="2"/>
  <c r="T795" i="2"/>
  <c r="T794" i="2"/>
  <c r="T793" i="2"/>
  <c r="T792" i="2"/>
  <c r="T791" i="2"/>
  <c r="T790" i="2"/>
  <c r="T789" i="2"/>
  <c r="T788" i="2"/>
  <c r="T787" i="2"/>
  <c r="T786" i="2"/>
  <c r="T785" i="2"/>
  <c r="T784" i="2"/>
  <c r="T783" i="2"/>
  <c r="T782" i="2"/>
  <c r="T781" i="2"/>
  <c r="T780" i="2"/>
  <c r="T779" i="2"/>
  <c r="T778" i="2"/>
  <c r="T777" i="2"/>
  <c r="T776" i="2"/>
  <c r="T775" i="2"/>
  <c r="T774" i="2"/>
  <c r="T773" i="2"/>
  <c r="T772" i="2"/>
  <c r="T771" i="2"/>
  <c r="T770" i="2"/>
  <c r="T769" i="2"/>
  <c r="T768" i="2"/>
  <c r="T767" i="2"/>
  <c r="T766" i="2"/>
  <c r="T765" i="2"/>
  <c r="T764" i="2"/>
  <c r="T763" i="2"/>
  <c r="T762" i="2"/>
  <c r="T761" i="2"/>
  <c r="T760" i="2"/>
  <c r="T759" i="2"/>
  <c r="T758" i="2"/>
  <c r="T757" i="2"/>
  <c r="T756" i="2"/>
  <c r="T755" i="2"/>
  <c r="T754" i="2"/>
  <c r="T753" i="2"/>
  <c r="T752" i="2"/>
  <c r="T751" i="2"/>
  <c r="T750" i="2"/>
  <c r="T749" i="2"/>
  <c r="T748" i="2"/>
  <c r="T747" i="2"/>
  <c r="T746" i="2"/>
  <c r="T745" i="2"/>
  <c r="T744" i="2"/>
  <c r="T743" i="2"/>
  <c r="T742" i="2"/>
  <c r="T741" i="2"/>
  <c r="T740" i="2"/>
  <c r="T739" i="2"/>
  <c r="T738" i="2"/>
  <c r="T737" i="2"/>
  <c r="T736" i="2"/>
  <c r="T735" i="2"/>
  <c r="T734" i="2"/>
  <c r="T733" i="2"/>
  <c r="T732" i="2"/>
  <c r="T731" i="2"/>
  <c r="T730" i="2"/>
  <c r="T729" i="2"/>
  <c r="T728" i="2"/>
  <c r="T727" i="2"/>
  <c r="T726" i="2"/>
  <c r="T725" i="2"/>
  <c r="T724" i="2"/>
  <c r="T723" i="2"/>
  <c r="T722" i="2"/>
  <c r="T721" i="2"/>
  <c r="T720" i="2"/>
  <c r="T719" i="2"/>
  <c r="T718" i="2"/>
  <c r="T717" i="2"/>
  <c r="T716" i="2"/>
  <c r="T715" i="2"/>
  <c r="T714" i="2"/>
  <c r="T713" i="2"/>
  <c r="T712" i="2"/>
  <c r="T711" i="2"/>
  <c r="T710" i="2"/>
  <c r="T709" i="2"/>
  <c r="T708" i="2"/>
  <c r="T707" i="2"/>
  <c r="T706" i="2"/>
  <c r="T705" i="2"/>
  <c r="T704" i="2"/>
  <c r="T703" i="2"/>
  <c r="T702" i="2"/>
  <c r="T701" i="2"/>
  <c r="T700" i="2"/>
  <c r="T699" i="2"/>
  <c r="T698" i="2"/>
  <c r="T697" i="2"/>
  <c r="T696" i="2"/>
  <c r="T695" i="2"/>
  <c r="T694" i="2"/>
  <c r="T693" i="2"/>
  <c r="T692" i="2"/>
  <c r="T691" i="2"/>
  <c r="T690" i="2"/>
  <c r="T689" i="2"/>
  <c r="T688" i="2"/>
  <c r="T687" i="2"/>
  <c r="T686" i="2"/>
  <c r="T685" i="2"/>
  <c r="T684" i="2"/>
  <c r="T683" i="2"/>
  <c r="T682" i="2"/>
  <c r="T681" i="2"/>
  <c r="T680" i="2"/>
  <c r="T679" i="2"/>
  <c r="T678" i="2"/>
  <c r="T677" i="2"/>
  <c r="T676" i="2"/>
  <c r="T675" i="2"/>
  <c r="T674" i="2"/>
  <c r="T673" i="2"/>
  <c r="T672" i="2"/>
  <c r="T671" i="2"/>
  <c r="T670" i="2"/>
  <c r="T669" i="2"/>
  <c r="T668" i="2"/>
  <c r="T667" i="2"/>
  <c r="T666" i="2"/>
  <c r="T665" i="2"/>
  <c r="T664" i="2"/>
  <c r="T663" i="2"/>
  <c r="T662" i="2"/>
  <c r="T661" i="2"/>
  <c r="T660" i="2"/>
  <c r="T659" i="2"/>
  <c r="T658" i="2"/>
  <c r="T657" i="2"/>
  <c r="T656" i="2"/>
  <c r="T655" i="2"/>
  <c r="T654" i="2"/>
  <c r="T653" i="2"/>
  <c r="T652" i="2"/>
  <c r="T651" i="2"/>
  <c r="T650" i="2"/>
  <c r="T649" i="2"/>
  <c r="T648" i="2"/>
  <c r="T647" i="2"/>
  <c r="T646" i="2"/>
  <c r="T645" i="2"/>
  <c r="T644" i="2"/>
  <c r="T643" i="2"/>
  <c r="T642" i="2"/>
  <c r="T641" i="2"/>
  <c r="T640" i="2"/>
  <c r="T639" i="2"/>
  <c r="T638" i="2"/>
  <c r="T637" i="2"/>
  <c r="T636" i="2"/>
  <c r="T635" i="2"/>
  <c r="T634" i="2"/>
  <c r="T633" i="2"/>
  <c r="T632" i="2"/>
  <c r="T631" i="2"/>
  <c r="T630" i="2"/>
  <c r="T629" i="2"/>
  <c r="T628" i="2"/>
  <c r="T627" i="2"/>
  <c r="T626" i="2"/>
  <c r="T625" i="2"/>
  <c r="T624" i="2"/>
  <c r="T623" i="2"/>
  <c r="T622" i="2"/>
  <c r="T621" i="2"/>
  <c r="T620" i="2"/>
  <c r="T619" i="2"/>
  <c r="T618" i="2"/>
  <c r="T617" i="2"/>
  <c r="T616" i="2"/>
  <c r="T615" i="2"/>
  <c r="T614" i="2"/>
  <c r="T613" i="2"/>
  <c r="T612" i="2"/>
  <c r="T611" i="2"/>
  <c r="T610" i="2"/>
  <c r="T609" i="2"/>
  <c r="T608" i="2"/>
  <c r="T607" i="2"/>
  <c r="T606" i="2"/>
  <c r="T605" i="2"/>
  <c r="T604" i="2"/>
  <c r="T603" i="2"/>
  <c r="T602" i="2"/>
  <c r="T601" i="2"/>
  <c r="T600" i="2"/>
  <c r="T599"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T518" i="2"/>
  <c r="T517" i="2"/>
  <c r="T516" i="2"/>
  <c r="T515" i="2"/>
  <c r="T514" i="2"/>
  <c r="T513" i="2"/>
  <c r="T512" i="2"/>
  <c r="T511" i="2"/>
  <c r="T510" i="2"/>
  <c r="T509" i="2"/>
  <c r="T508" i="2"/>
  <c r="T507" i="2"/>
  <c r="T506" i="2"/>
  <c r="T505" i="2"/>
  <c r="T504" i="2"/>
  <c r="T503" i="2"/>
  <c r="T502" i="2"/>
  <c r="T501" i="2"/>
  <c r="T500" i="2"/>
  <c r="T499" i="2"/>
  <c r="T498" i="2"/>
  <c r="T497" i="2"/>
  <c r="T496" i="2"/>
  <c r="T495" i="2"/>
  <c r="T494" i="2"/>
  <c r="T493" i="2"/>
  <c r="T492" i="2"/>
  <c r="T491" i="2"/>
  <c r="T490" i="2"/>
  <c r="T489" i="2"/>
  <c r="T488" i="2"/>
  <c r="T487" i="2"/>
  <c r="T486" i="2"/>
  <c r="T485" i="2"/>
  <c r="T484" i="2"/>
  <c r="T483" i="2"/>
  <c r="T482" i="2"/>
  <c r="T481" i="2"/>
  <c r="T480" i="2"/>
  <c r="T479" i="2"/>
  <c r="T478" i="2"/>
  <c r="T477" i="2"/>
  <c r="T476" i="2"/>
  <c r="T475" i="2"/>
  <c r="T474" i="2"/>
  <c r="T473" i="2"/>
  <c r="T472" i="2"/>
  <c r="T471" i="2"/>
  <c r="T470" i="2"/>
  <c r="T469" i="2"/>
  <c r="T468" i="2"/>
  <c r="T467" i="2"/>
  <c r="T466" i="2"/>
  <c r="T465" i="2"/>
  <c r="T464" i="2"/>
  <c r="T463" i="2"/>
  <c r="T462" i="2"/>
  <c r="T461" i="2"/>
  <c r="T460" i="2"/>
  <c r="T459" i="2"/>
  <c r="T458" i="2"/>
  <c r="T457" i="2"/>
  <c r="T456" i="2"/>
  <c r="T455" i="2"/>
  <c r="T454" i="2"/>
  <c r="T453" i="2"/>
  <c r="T452" i="2"/>
  <c r="T451" i="2"/>
  <c r="T450" i="2"/>
  <c r="T449" i="2"/>
  <c r="T448" i="2"/>
  <c r="T447" i="2"/>
  <c r="T446" i="2"/>
  <c r="T445" i="2"/>
  <c r="T444" i="2"/>
  <c r="T443" i="2"/>
  <c r="T442" i="2"/>
  <c r="T441" i="2"/>
  <c r="T440" i="2"/>
  <c r="T439" i="2"/>
  <c r="T438" i="2"/>
  <c r="T437" i="2"/>
  <c r="T436" i="2"/>
  <c r="T435" i="2"/>
  <c r="T434" i="2"/>
  <c r="T433" i="2"/>
  <c r="T432" i="2"/>
  <c r="T431" i="2"/>
  <c r="T430" i="2"/>
  <c r="T429" i="2"/>
  <c r="T428" i="2"/>
  <c r="T427" i="2"/>
  <c r="T426" i="2"/>
  <c r="T425" i="2"/>
  <c r="T424" i="2"/>
  <c r="T423" i="2"/>
  <c r="T422" i="2"/>
  <c r="T421" i="2"/>
  <c r="T420" i="2"/>
  <c r="T419" i="2"/>
  <c r="T418" i="2"/>
  <c r="T417" i="2"/>
  <c r="T416" i="2"/>
  <c r="T415" i="2"/>
  <c r="T414" i="2"/>
  <c r="T413" i="2"/>
  <c r="T412" i="2"/>
  <c r="T411" i="2"/>
  <c r="T410" i="2"/>
  <c r="T409" i="2"/>
  <c r="T408" i="2"/>
  <c r="T407" i="2"/>
  <c r="T406" i="2"/>
  <c r="T405" i="2"/>
  <c r="T404" i="2"/>
  <c r="T403" i="2"/>
  <c r="T402" i="2"/>
  <c r="T401" i="2"/>
  <c r="T400" i="2"/>
  <c r="T399" i="2"/>
  <c r="T398" i="2"/>
  <c r="T397" i="2"/>
  <c r="T396" i="2"/>
  <c r="T395" i="2"/>
  <c r="T394" i="2"/>
  <c r="T393" i="2"/>
  <c r="T392" i="2"/>
  <c r="T391" i="2"/>
  <c r="T390" i="2"/>
  <c r="T389" i="2"/>
  <c r="T388" i="2"/>
  <c r="T387" i="2"/>
  <c r="T386" i="2"/>
  <c r="T385" i="2"/>
  <c r="T384" i="2"/>
  <c r="T383" i="2"/>
  <c r="T382" i="2"/>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T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alcChain>
</file>

<file path=xl/sharedStrings.xml><?xml version="1.0" encoding="utf-8"?>
<sst xmlns="http://schemas.openxmlformats.org/spreadsheetml/2006/main" count="21391" uniqueCount="4330">
  <si>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</si>
  <si>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</si>
  <si>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</si>
  <si>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</si>
  <si>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</si>
  <si>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</si>
  <si>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</si>
  <si>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</si>
  <si>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</si>
  <si>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</si>
  <si>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</si>
  <si>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</si>
  <si>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</si>
  <si>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</si>
  <si>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</si>
  <si>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</si>
  <si>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</si>
  <si>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</si>
  <si>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</si>
  <si>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</si>
  <si>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</si>
  <si>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</si>
  <si>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</si>
  <si>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</si>
  <si>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</si>
  <si>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</si>
  <si>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</si>
  <si>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</si>
  <si>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</si>
  <si>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</si>
  <si>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</si>
  <si>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</si>
  <si>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</si>
  <si>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</si>
  <si>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</si>
  <si>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</si>
  <si>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</si>
  <si>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</si>
  <si>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</si>
  <si>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</si>
  <si>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</si>
  <si>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</si>
  <si>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</si>
  <si>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</si>
  <si>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</si>
  <si>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</si>
  <si>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</si>
  <si>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</si>
  <si>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</si>
  <si>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</si>
  <si>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</si>
  <si>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</si>
  <si>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</si>
  <si>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</si>
  <si>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</si>
  <si>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</si>
  <si>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</si>
  <si>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</si>
  <si>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</si>
  <si>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</si>
  <si>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</si>
  <si>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</si>
  <si>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</si>
  <si>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</si>
  <si>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</si>
  <si>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</si>
  <si>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</si>
  <si>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</si>
  <si>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</si>
  <si>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</si>
  <si>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</si>
  <si>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</si>
  <si>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</si>
  <si>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</si>
  <si>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</si>
  <si>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</si>
  <si>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</si>
  <si>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</si>
  <si>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</si>
  <si>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</si>
  <si>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</si>
  <si>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</si>
  <si>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</si>
  <si>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</si>
  <si>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</si>
  <si>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</si>
  <si>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</si>
  <si>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</si>
  <si>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</si>
  <si>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</si>
  <si>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</si>
  <si>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</si>
  <si>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</si>
  <si>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</si>
  <si>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</si>
  <si>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</si>
  <si>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</si>
  <si>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</si>
  <si>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</si>
  <si>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</si>
  <si>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</si>
  <si>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</si>
  <si>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</si>
  <si>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</si>
  <si>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</si>
  <si>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</si>
  <si>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</si>
  <si>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</si>
  <si>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</si>
  <si>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</si>
  <si>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</si>
  <si>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</si>
  <si>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</si>
  <si>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</si>
  <si>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</si>
  <si>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</si>
  <si>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</si>
  <si>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</si>
  <si>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</si>
  <si>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</si>
  <si>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</si>
  <si>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</si>
  <si>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</si>
  <si>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</si>
  <si>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</si>
  <si>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</si>
  <si>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</si>
  <si>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</si>
  <si>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</si>
  <si>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</si>
  <si>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</si>
  <si>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</si>
  <si>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</si>
  <si>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</si>
  <si>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</si>
  <si>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</si>
  <si>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</si>
  <si>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</si>
  <si>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</si>
  <si>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</si>
  <si>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</si>
  <si>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</si>
  <si>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</si>
  <si>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</si>
  <si>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</si>
  <si>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</si>
  <si>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</si>
  <si>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</si>
  <si>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</si>
  <si>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</si>
  <si>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</si>
  <si>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</si>
  <si>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</si>
  <si>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</si>
  <si>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</si>
  <si>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</si>
  <si>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</si>
  <si>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</si>
  <si>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</si>
  <si>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</si>
  <si>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</si>
  <si>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</si>
  <si>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</si>
  <si>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</si>
  <si>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</si>
  <si>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</si>
  <si>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</si>
  <si>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</si>
  <si>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</si>
  <si>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</si>
  <si>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</si>
  <si>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</si>
  <si>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</si>
  <si>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</si>
  <si>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</si>
  <si>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</si>
  <si>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</si>
  <si>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</si>
  <si>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</si>
  <si>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</si>
  <si>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</si>
  <si>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</si>
  <si>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</si>
  <si>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</si>
  <si>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</si>
  <si>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</si>
  <si>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</si>
  <si>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</si>
  <si>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</si>
  <si>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</si>
  <si>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</si>
  <si>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</si>
  <si>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</si>
  <si>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</si>
  <si>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</si>
  <si>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</si>
  <si>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</si>
  <si>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</si>
  <si>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</si>
  <si>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</si>
  <si>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</si>
  <si>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</si>
  <si>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</si>
  <si>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</si>
  <si>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</si>
  <si>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</si>
  <si>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</si>
  <si>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</si>
  <si>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</si>
  <si>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</si>
  <si>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</si>
  <si>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</si>
  <si>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</si>
  <si>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</si>
  <si>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</si>
  <si>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</si>
  <si>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</si>
  <si>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</si>
  <si>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</si>
  <si>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</si>
  <si>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</si>
  <si>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</si>
  <si>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</si>
  <si>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</si>
  <si>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</si>
  <si>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</si>
  <si>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</si>
  <si>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</si>
  <si>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</si>
  <si>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</si>
  <si>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</si>
  <si>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</si>
  <si>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</si>
  <si>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</si>
  <si>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</si>
  <si>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</si>
  <si>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</si>
  <si>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</si>
  <si>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</si>
  <si>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</si>
  <si>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</si>
  <si>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</si>
  <si>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</si>
  <si>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</si>
  <si>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</si>
  <si>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</si>
  <si>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</si>
  <si>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</si>
  <si>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</si>
  <si>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</si>
  <si>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</si>
  <si>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</si>
  <si>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</si>
  <si>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</si>
  <si>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</si>
  <si>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</si>
  <si>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</si>
  <si>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</si>
  <si>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</si>
  <si>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</si>
  <si>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</si>
  <si>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</si>
  <si>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</si>
  <si>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</si>
  <si>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</si>
  <si>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</si>
  <si>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</si>
  <si>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</si>
  <si>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</si>
  <si>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</si>
  <si>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</si>
  <si>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</si>
  <si>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</si>
  <si>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</si>
  <si>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</si>
  <si>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</si>
  <si>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</si>
  <si>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</si>
  <si>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</si>
  <si>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</si>
  <si>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</si>
  <si>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</si>
  <si>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</si>
  <si>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</si>
  <si>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</si>
  <si>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</si>
  <si>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</si>
  <si>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</si>
  <si>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</si>
  <si>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</si>
  <si>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</si>
  <si>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</si>
  <si>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</si>
  <si>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</si>
  <si>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</si>
  <si>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</si>
  <si>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</si>
  <si>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</si>
  <si>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</si>
  <si>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</si>
  <si>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</si>
  <si>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</si>
  <si>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</si>
  <si>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</si>
  <si>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</si>
  <si>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</si>
  <si>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</si>
  <si>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</si>
  <si>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</si>
  <si>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</si>
  <si>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</si>
  <si>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</si>
  <si>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</si>
  <si>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</si>
  <si>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</si>
  <si>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</si>
  <si>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</si>
  <si>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</si>
  <si>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</si>
  <si>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</si>
  <si>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</si>
  <si>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</si>
  <si>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</si>
  <si>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</si>
  <si>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</si>
  <si>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</si>
  <si>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</si>
  <si>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</si>
  <si>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</si>
  <si>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</si>
  <si>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</si>
  <si>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</si>
  <si>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</si>
  <si>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</si>
  <si>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</si>
  <si>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</si>
  <si>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</si>
  <si>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</si>
  <si>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</si>
  <si>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</si>
  <si>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</si>
  <si>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</si>
  <si>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</si>
  <si>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</si>
  <si>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</si>
  <si>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</si>
  <si>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</si>
  <si>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</si>
  <si>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</si>
  <si>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</si>
  <si>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</si>
  <si>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</si>
  <si>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</si>
  <si>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</si>
  <si>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</si>
  <si>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</si>
  <si>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</si>
  <si>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</si>
  <si>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</si>
  <si>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</si>
  <si>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</si>
  <si>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</si>
  <si>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</si>
  <si>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</si>
  <si>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</si>
  <si>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</si>
  <si>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</si>
  <si>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</si>
  <si>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</si>
  <si>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</si>
  <si>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</si>
  <si>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</si>
  <si>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</si>
  <si>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</si>
  <si>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</si>
  <si>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</si>
  <si>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</si>
  <si>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</si>
  <si>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</si>
  <si>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</si>
  <si>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</si>
  <si>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</si>
  <si>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</si>
  <si>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</si>
  <si>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</si>
  <si>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</si>
  <si>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</si>
  <si>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</si>
  <si>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</si>
  <si>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</si>
  <si>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</si>
  <si>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</si>
  <si>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</si>
  <si>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</si>
  <si>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</si>
  <si>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</si>
  <si>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</si>
  <si>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</si>
  <si>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</si>
  <si>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</si>
  <si>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</si>
  <si>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</si>
  <si>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</si>
  <si>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</si>
  <si>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</si>
  <si>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</si>
  <si>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</si>
  <si>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</si>
  <si>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</si>
  <si>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</si>
  <si>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</si>
  <si>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</si>
  <si>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</si>
  <si>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</si>
  <si>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</si>
  <si>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</si>
  <si>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</si>
  <si>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</si>
  <si>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</si>
  <si>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</si>
  <si>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</si>
  <si>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</si>
  <si>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</si>
  <si>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</si>
  <si>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</si>
  <si>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</si>
  <si>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</si>
  <si>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</si>
  <si>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</si>
  <si>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</si>
  <si>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</si>
  <si>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</si>
  <si>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</si>
  <si>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</si>
  <si>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</si>
  <si>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</si>
  <si>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</si>
  <si>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</si>
  <si>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</si>
  <si>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</si>
  <si>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</si>
  <si>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</si>
  <si>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</si>
  <si>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</si>
  <si>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</si>
  <si>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</si>
  <si>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</si>
  <si>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</si>
  <si>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</si>
  <si>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</si>
  <si>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</si>
  <si>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</si>
  <si>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</si>
  <si>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</si>
  <si>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</si>
  <si>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</si>
  <si>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</si>
  <si>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</si>
  <si>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</si>
  <si>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</si>
  <si>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</si>
  <si>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</si>
  <si>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</si>
  <si>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</si>
  <si>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</si>
  <si>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</si>
  <si>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</si>
  <si>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</si>
  <si>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</si>
  <si>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</si>
  <si>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</si>
  <si>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</si>
  <si>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</si>
  <si>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</si>
  <si>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</si>
  <si>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</si>
  <si>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</si>
  <si>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</si>
  <si>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</si>
  <si>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</si>
  <si>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</si>
  <si>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</si>
  <si>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</si>
  <si>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</si>
  <si>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</si>
  <si>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</si>
  <si>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</si>
  <si>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</si>
  <si>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</si>
  <si>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</si>
  <si>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</si>
  <si>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</si>
  <si>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</si>
  <si>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</si>
  <si>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</si>
  <si>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</si>
  <si>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</si>
  <si>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</si>
  <si>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</si>
  <si>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</si>
  <si>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</si>
  <si>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</si>
  <si>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</si>
  <si>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</si>
  <si>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</si>
  <si>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</si>
  <si>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</si>
  <si>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</si>
  <si>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</si>
  <si>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</si>
  <si>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</si>
  <si>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</si>
  <si>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</si>
  <si>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</si>
  <si>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</si>
  <si>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</si>
  <si>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</si>
  <si>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</si>
  <si>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</si>
  <si>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</si>
  <si>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</si>
  <si>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</si>
  <si>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</si>
  <si>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</si>
  <si>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</si>
  <si>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</si>
  <si>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</si>
  <si>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</si>
  <si>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</si>
  <si>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</si>
  <si>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</si>
  <si>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</si>
  <si>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</si>
  <si>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</si>
  <si>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</si>
  <si>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</si>
  <si>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</si>
  <si>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</si>
  <si>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</si>
  <si>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</si>
  <si>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</si>
  <si>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</si>
  <si>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</si>
  <si>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</si>
  <si>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</si>
  <si>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</si>
  <si>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</si>
  <si>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</si>
  <si>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</si>
  <si>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</si>
  <si>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</si>
  <si>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</si>
  <si>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</si>
  <si>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</si>
  <si>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</si>
  <si>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</si>
  <si>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</si>
  <si>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</si>
  <si>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</si>
  <si>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</si>
  <si>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</si>
  <si>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</si>
  <si>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</si>
  <si>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</si>
  <si>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</si>
  <si>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</si>
  <si>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</si>
  <si>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</si>
  <si>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</si>
  <si>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</si>
  <si>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</si>
  <si>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</si>
  <si>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</si>
  <si>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</si>
  <si>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</si>
  <si>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</si>
  <si>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</si>
  <si>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</si>
  <si>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</si>
  <si>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</si>
  <si>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</si>
  <si>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</si>
  <si>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</si>
  <si>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</si>
  <si>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</si>
  <si>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</si>
  <si>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</si>
  <si>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</si>
  <si>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</si>
  <si>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</si>
  <si>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</si>
  <si>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</si>
  <si>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</si>
  <si>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</si>
  <si>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</si>
  <si>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</si>
  <si>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</si>
  <si>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</si>
  <si>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</si>
  <si>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</si>
  <si>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</si>
  <si>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</si>
  <si>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</si>
  <si>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</si>
  <si>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</si>
  <si>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</si>
  <si>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</si>
  <si>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</si>
  <si>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</si>
  <si>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</si>
  <si>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</si>
  <si>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</si>
  <si>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</si>
  <si>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</si>
  <si>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</si>
  <si>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</si>
  <si>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</si>
  <si>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</si>
  <si>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</si>
  <si>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</si>
  <si>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</si>
  <si>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</si>
  <si>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</si>
  <si>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</si>
  <si>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</si>
  <si>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</si>
  <si>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</si>
  <si>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</si>
  <si>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</si>
  <si>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</si>
  <si>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</si>
  <si>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</si>
  <si>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</si>
  <si>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</si>
  <si>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</si>
  <si>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</si>
  <si>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</si>
  <si>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</si>
  <si>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</si>
  <si>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</si>
  <si>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</si>
  <si>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</si>
  <si>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</si>
  <si>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</si>
  <si>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</si>
  <si>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</si>
  <si>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</si>
  <si>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</si>
  <si>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</si>
  <si>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</si>
  <si>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</si>
  <si>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</si>
  <si>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</si>
  <si>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</si>
  <si>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</si>
  <si>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</si>
  <si>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</si>
  <si>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</si>
  <si>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</si>
  <si>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</si>
  <si>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</si>
  <si>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</si>
  <si>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</si>
  <si>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</si>
  <si>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</si>
  <si>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</si>
  <si>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</si>
  <si>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</si>
  <si>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</si>
  <si>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</si>
  <si>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</si>
  <si>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</si>
  <si>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</si>
  <si>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</si>
  <si>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</si>
  <si>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</si>
  <si>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</si>
  <si>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</si>
  <si>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</si>
  <si>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</si>
  <si>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</si>
  <si>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</si>
  <si>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</si>
  <si>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</si>
  <si>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</si>
  <si>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</si>
  <si>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</si>
  <si>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</si>
  <si>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</si>
  <si>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</si>
  <si>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</si>
  <si>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</si>
  <si>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</si>
  <si>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</si>
  <si>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</si>
  <si>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</si>
  <si>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</si>
  <si>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</si>
  <si>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</si>
  <si>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</si>
  <si>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</si>
  <si>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</si>
  <si>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</si>
  <si>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</si>
  <si>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</si>
  <si>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</si>
  <si>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</si>
  <si>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</si>
  <si>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</si>
  <si>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</si>
  <si>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</si>
  <si>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</si>
  <si>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</si>
  <si>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</si>
  <si>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</si>
  <si>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</si>
  <si>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</si>
  <si>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</si>
  <si>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</si>
  <si>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</si>
  <si>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</si>
  <si>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</si>
  <si>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</si>
  <si>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</si>
  <si>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</si>
  <si>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</si>
  <si>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</si>
  <si>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</si>
  <si>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</si>
  <si>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</si>
  <si>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</si>
  <si>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</si>
  <si>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</si>
  <si>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</si>
  <si>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</si>
  <si>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</si>
  <si>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</si>
  <si>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</si>
  <si>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</si>
  <si>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</si>
  <si>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</si>
  <si>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</si>
  <si>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</si>
  <si>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</si>
  <si>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</si>
  <si>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</si>
  <si>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</si>
  <si>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</si>
  <si>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</si>
  <si>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</si>
  <si>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</si>
  <si>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</si>
  <si>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</si>
  <si>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</si>
  <si>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</si>
  <si>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</si>
  <si>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</si>
  <si>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</si>
  <si>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</si>
  <si>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</si>
  <si>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</si>
  <si>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</si>
  <si>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</si>
  <si>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</si>
  <si>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</si>
  <si>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</si>
  <si>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</si>
  <si>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</si>
  <si>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</si>
  <si>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</si>
  <si>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</si>
  <si>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</si>
  <si>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</si>
  <si>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</si>
  <si>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</si>
  <si>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</si>
  <si>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</si>
  <si>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</si>
  <si>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</si>
  <si>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</si>
  <si>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</si>
  <si>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</si>
  <si>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</si>
  <si>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</si>
  <si>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</si>
  <si>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</si>
  <si>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</si>
  <si>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</si>
  <si>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</si>
  <si>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</si>
  <si>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</si>
  <si>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</si>
  <si>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</si>
  <si>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</si>
  <si>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</si>
  <si>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</si>
  <si>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</si>
  <si>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</si>
  <si>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</si>
  <si>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</si>
  <si>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</si>
  <si>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</si>
  <si>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</si>
  <si>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</si>
  <si>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</si>
  <si>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</si>
  <si>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</si>
  <si>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</si>
  <si>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</si>
  <si>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</si>
  <si>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</si>
  <si>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</si>
  <si>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</si>
  <si>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</si>
  <si>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</si>
  <si>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</si>
  <si>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</si>
  <si>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</si>
  <si>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</si>
  <si>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</si>
  <si>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</si>
  <si>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</si>
  <si>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</si>
  <si>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</si>
  <si>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</si>
  <si>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</si>
  <si>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</si>
  <si>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</si>
  <si>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</si>
  <si>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</si>
  <si>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</si>
  <si>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</si>
  <si>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</si>
  <si>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</si>
  <si>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</si>
  <si>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</si>
  <si>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</si>
  <si>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</si>
  <si>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</si>
  <si>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</si>
  <si>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</si>
  <si>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</si>
  <si>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</si>
  <si>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</si>
  <si>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</si>
  <si>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</si>
  <si>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</si>
  <si>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</si>
  <si>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</si>
  <si>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</si>
  <si>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</si>
  <si>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</si>
  <si>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</si>
  <si>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</si>
  <si>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</si>
  <si>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</si>
  <si>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</si>
  <si>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</si>
  <si>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</si>
  <si>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</si>
  <si>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</si>
  <si>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</si>
  <si>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</si>
  <si>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</si>
  <si>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</si>
  <si>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</si>
  <si>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</si>
  <si>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</si>
  <si>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</si>
  <si>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</si>
  <si>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</si>
  <si>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</si>
  <si>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</si>
  <si>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</si>
  <si>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</si>
  <si>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</si>
  <si>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</si>
  <si>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</si>
  <si>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</si>
  <si>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</si>
  <si>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</si>
  <si>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</si>
  <si>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</si>
  <si>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</si>
  <si>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</si>
  <si>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</si>
  <si>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</si>
  <si>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</si>
  <si>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</si>
  <si>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</si>
  <si>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</si>
  <si>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</si>
  <si>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</si>
  <si>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</si>
  <si>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</si>
  <si>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</si>
  <si>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</si>
  <si>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</si>
  <si>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</si>
  <si>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</si>
  <si>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</si>
  <si>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</si>
  <si>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</si>
  <si>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</si>
  <si>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</si>
  <si>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</si>
  <si>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</si>
  <si>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</si>
  <si>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</si>
  <si>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</si>
  <si>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</si>
  <si>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</si>
  <si>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</si>
  <si>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</si>
  <si>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</si>
  <si>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</si>
  <si>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</si>
  <si>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</si>
  <si>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</si>
  <si>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</si>
  <si>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</si>
  <si>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</si>
  <si>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</si>
  <si>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</si>
  <si>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</si>
  <si>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</si>
  <si>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</si>
  <si>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</si>
  <si>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</si>
  <si>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</si>
  <si>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</si>
  <si>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</si>
  <si>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</si>
  <si>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</si>
  <si>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</si>
  <si>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</si>
  <si>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</si>
  <si>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</si>
  <si>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</si>
  <si>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</si>
  <si>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</si>
  <si>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</si>
  <si>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</si>
  <si>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</si>
  <si>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</si>
  <si>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</si>
  <si>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</si>
  <si>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</si>
  <si>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</si>
  <si>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</si>
  <si>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</si>
  <si>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</si>
  <si>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</si>
  <si>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</si>
  <si>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</si>
  <si>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</si>
  <si>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</si>
  <si>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</si>
  <si>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</si>
  <si>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</si>
  <si>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</si>
  <si>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</si>
  <si>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</si>
  <si>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</si>
  <si>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</si>
  <si>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</si>
  <si>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</si>
  <si>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</si>
  <si>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</si>
  <si>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</si>
  <si>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</si>
  <si>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</si>
  <si>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</si>
  <si>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</si>
  <si>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</si>
  <si>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</si>
  <si>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</si>
  <si>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</si>
  <si>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</si>
  <si>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</si>
  <si>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</si>
  <si>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</si>
  <si>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</si>
  <si>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</si>
  <si>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</si>
  <si>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</si>
  <si>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</si>
  <si>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</si>
  <si>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</si>
  <si>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</si>
  <si>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</si>
  <si>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</si>
  <si>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</si>
  <si>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</si>
  <si>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</si>
  <si>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</si>
  <si>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</si>
  <si>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</si>
  <si>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</si>
  <si>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</si>
  <si>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</si>
  <si>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</si>
  <si>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</si>
  <si>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</si>
  <si>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</si>
  <si>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</si>
  <si>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</si>
  <si>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</si>
  <si>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</si>
  <si>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</si>
  <si>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</si>
  <si>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</si>
  <si>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</si>
  <si>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</si>
  <si>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</si>
  <si>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</si>
  <si>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</si>
  <si>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</si>
  <si>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</si>
  <si>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</si>
  <si>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</si>
  <si>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</si>
  <si>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</si>
  <si>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</si>
  <si>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</si>
  <si>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</si>
  <si>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</si>
  <si>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</si>
  <si>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</si>
  <si>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</si>
  <si>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</si>
  <si>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</si>
  <si>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</si>
  <si>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</si>
  <si>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</si>
  <si>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</si>
  <si>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</si>
  <si>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</si>
  <si>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</si>
  <si>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</si>
  <si>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</si>
  <si>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</si>
  <si>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</si>
  <si>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</si>
  <si>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</si>
  <si>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</si>
  <si>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</si>
  <si>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</si>
  <si>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</si>
  <si>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</si>
  <si>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</si>
  <si>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</si>
  <si>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</si>
  <si>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</si>
  <si>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</si>
  <si>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</si>
  <si>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</si>
  <si>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</si>
  <si>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</si>
  <si>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</si>
  <si>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</si>
  <si>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</si>
  <si>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</si>
  <si>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</si>
  <si>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</si>
  <si>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</si>
  <si>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</si>
  <si>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</si>
  <si>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</si>
  <si>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</si>
  <si>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</si>
  <si>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</si>
  <si>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</si>
  <si>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</si>
  <si>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</si>
  <si>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</si>
  <si>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</si>
  <si>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</si>
  <si>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</si>
  <si>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</si>
  <si>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</si>
  <si>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</si>
  <si>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</si>
  <si>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</si>
  <si>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</si>
  <si>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</si>
  <si>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</si>
  <si>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</si>
  <si>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</si>
  <si>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</si>
  <si>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</si>
  <si>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</si>
  <si>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</si>
  <si>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</si>
  <si>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</si>
  <si>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</si>
  <si>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</si>
  <si>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</si>
  <si>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</si>
  <si>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</si>
  <si>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</si>
  <si>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</si>
  <si>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</si>
  <si>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</si>
  <si>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</si>
  <si>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</si>
  <si>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</si>
  <si>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</si>
  <si>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</si>
  <si>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</si>
  <si>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</si>
  <si>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</si>
  <si>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</si>
  <si>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</si>
  <si>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</si>
  <si>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</si>
  <si>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</si>
  <si>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</si>
  <si>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</si>
  <si>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</si>
  <si>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</si>
  <si>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</si>
  <si>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</si>
  <si>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</si>
  <si>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</si>
  <si>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</si>
  <si>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</si>
  <si>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</si>
  <si>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</si>
  <si>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</si>
  <si>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</si>
  <si>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</si>
  <si>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</si>
  <si>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</si>
  <si>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</si>
  <si>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</si>
  <si>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</si>
  <si>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</si>
  <si>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</si>
  <si>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</si>
  <si>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</si>
  <si>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</si>
  <si>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</si>
  <si>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</si>
  <si>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</si>
  <si>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</si>
  <si>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</si>
  <si>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</si>
  <si>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</si>
  <si>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</si>
  <si>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</si>
  <si>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</si>
  <si>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</si>
  <si>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</si>
  <si>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</si>
  <si>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</si>
  <si>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</si>
  <si>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</si>
  <si>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</si>
  <si>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</si>
  <si>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</si>
  <si>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</si>
  <si>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</si>
  <si>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</si>
  <si>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</si>
  <si>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</si>
  <si>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</si>
  <si>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</si>
  <si>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</si>
  <si>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</si>
  <si>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</si>
  <si>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</si>
  <si>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</si>
  <si>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</si>
  <si>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</si>
  <si>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</si>
  <si>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</si>
  <si>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</si>
  <si>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</si>
  <si>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</si>
  <si>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</si>
  <si>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</si>
  <si>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</si>
  <si>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</si>
  <si>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</si>
  <si>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</si>
  <si>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</si>
  <si>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</si>
  <si>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</si>
  <si>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</si>
  <si>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</si>
  <si>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</si>
  <si>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</si>
  <si>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</si>
  <si>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</si>
  <si>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</si>
  <si>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</si>
  <si>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</si>
  <si>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</si>
  <si>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</si>
  <si>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</si>
  <si>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</si>
  <si>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</si>
  <si>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</si>
  <si>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</si>
  <si>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</si>
  <si>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</si>
  <si>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</si>
  <si>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</si>
  <si>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</si>
  <si>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</si>
  <si>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</si>
  <si>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</si>
  <si>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</si>
  <si>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</si>
  <si>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</si>
  <si>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</si>
  <si>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</si>
  <si>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</si>
  <si>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</si>
  <si>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</si>
  <si>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</si>
  <si>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</si>
  <si>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</si>
  <si>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</si>
  <si>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</si>
  <si>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</si>
  <si>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</si>
  <si>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</si>
  <si>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</si>
  <si>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</si>
  <si>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</si>
  <si>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</si>
  <si>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</si>
  <si>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</si>
  <si>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</si>
  <si>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</si>
  <si>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</si>
  <si>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</si>
  <si>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</si>
  <si>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</si>
  <si>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</si>
  <si>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</si>
  <si>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</si>
  <si>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</si>
  <si>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</si>
  <si>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</si>
  <si>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</si>
  <si>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</si>
  <si>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</si>
  <si>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</si>
  <si>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</si>
  <si>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</si>
  <si>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</si>
  <si>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</si>
  <si>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</si>
  <si>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</si>
  <si>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</si>
  <si>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</si>
  <si>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</si>
  <si>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</si>
  <si>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</si>
  <si>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</si>
  <si>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</si>
  <si>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</si>
  <si>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</si>
  <si>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</si>
  <si>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</si>
  <si>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</si>
  <si>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</si>
  <si>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</si>
  <si>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</si>
  <si>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</si>
  <si>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</si>
  <si>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</si>
  <si>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</si>
  <si>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</si>
  <si>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</si>
  <si>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</si>
  <si>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</si>
  <si>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</si>
  <si>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</si>
  <si>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</si>
  <si>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</si>
  <si>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</si>
  <si>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</si>
  <si>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</si>
  <si>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</si>
  <si>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</si>
  <si>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</si>
  <si>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</si>
  <si>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</si>
  <si>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</si>
  <si>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</si>
  <si>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</si>
  <si>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</si>
  <si>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</si>
  <si>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</si>
  <si>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</si>
  <si>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</si>
  <si>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</si>
  <si>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</si>
  <si>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</si>
  <si>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</si>
  <si>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</si>
  <si>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</si>
  <si>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</si>
  <si>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</si>
  <si>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</si>
  <si>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</si>
  <si>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</si>
  <si>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</si>
  <si>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</si>
  <si>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</si>
  <si>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</si>
  <si>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</si>
  <si>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</si>
  <si>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</si>
  <si>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</si>
  <si>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</si>
  <si>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</si>
  <si>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</si>
  <si>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</si>
  <si>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</si>
  <si>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</si>
  <si>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</si>
  <si>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</si>
  <si>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</si>
  <si>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</si>
  <si>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</si>
  <si>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</si>
  <si>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</si>
  <si>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</si>
  <si>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</si>
  <si>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</si>
  <si>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</si>
  <si>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</si>
  <si>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</si>
  <si>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</si>
  <si>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</si>
  <si>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</si>
  <si>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</si>
  <si>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</si>
  <si>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</si>
  <si>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</si>
  <si>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</si>
  <si>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</si>
  <si>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</si>
  <si>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</si>
  <si>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</si>
  <si>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</si>
  <si>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</si>
  <si>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</si>
  <si>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</si>
  <si>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</si>
  <si>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</si>
  <si>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</si>
  <si>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</si>
  <si>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</si>
  <si>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</si>
  <si>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</si>
  <si>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</si>
  <si>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</si>
  <si>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</si>
  <si>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</si>
  <si>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</si>
  <si>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</si>
  <si>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</si>
  <si>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</si>
  <si>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</si>
  <si>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</si>
  <si>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</si>
  <si>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</si>
  <si>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</si>
  <si>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</si>
  <si>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</si>
  <si>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</si>
  <si>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</si>
  <si>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</si>
  <si>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</si>
  <si>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</si>
  <si>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</si>
  <si>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</si>
  <si>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</si>
  <si>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</si>
  <si>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</si>
  <si>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</si>
  <si>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</si>
  <si>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</si>
  <si>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</si>
  <si>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</si>
  <si>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</si>
  <si>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</si>
  <si>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</si>
  <si>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</si>
  <si>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</si>
  <si>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</si>
  <si>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</si>
  <si>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</si>
  <si>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</si>
  <si>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</si>
  <si>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</si>
  <si>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</si>
  <si>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</si>
  <si>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</si>
  <si>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</si>
  <si>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</si>
  <si>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</si>
  <si>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</si>
  <si>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</si>
  <si>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</si>
  <si>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</si>
  <si>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</si>
  <si>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</si>
  <si>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</si>
  <si>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</si>
  <si>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</si>
  <si>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</si>
  <si>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</si>
  <si>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</si>
  <si>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</si>
  <si>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</si>
  <si>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</si>
  <si>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</si>
  <si>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</si>
  <si>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</si>
  <si>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</si>
  <si>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</si>
  <si>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</si>
  <si>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</si>
  <si>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</si>
  <si>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</si>
  <si>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</si>
  <si>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</si>
  <si>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</si>
  <si>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</si>
  <si>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</si>
  <si>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</si>
  <si>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</si>
  <si>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</si>
  <si>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</si>
  <si>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</si>
  <si>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</si>
  <si>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</si>
  <si>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</si>
  <si>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</si>
  <si>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</si>
  <si>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</si>
  <si>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</si>
  <si>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</si>
  <si>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</si>
  <si>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</si>
  <si>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</si>
  <si>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</si>
  <si>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</si>
  <si>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</si>
  <si>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</si>
  <si>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</si>
  <si>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</si>
  <si>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</si>
  <si>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</si>
  <si>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</si>
  <si>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</si>
  <si>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</si>
  <si>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</si>
  <si>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</si>
  <si>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</si>
  <si>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</si>
  <si>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</si>
  <si>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</si>
  <si>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</si>
  <si>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</si>
  <si>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</si>
  <si>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</si>
  <si>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</si>
  <si>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</si>
  <si>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</si>
  <si>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</si>
  <si>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</si>
  <si>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</si>
  <si>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</si>
  <si>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</si>
  <si>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</si>
  <si>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</si>
  <si>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</si>
  <si>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</si>
  <si>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</si>
  <si>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</si>
  <si>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</si>
  <si>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</si>
  <si>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</si>
  <si>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</si>
  <si>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</si>
  <si>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</si>
  <si>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</si>
  <si>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</si>
  <si>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</si>
  <si>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</si>
  <si>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</si>
  <si>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</si>
  <si>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</si>
  <si>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</si>
  <si>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</si>
  <si>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</si>
  <si>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</si>
  <si>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</si>
  <si>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</si>
  <si>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</si>
  <si>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</si>
  <si>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</si>
  <si>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</si>
  <si>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</si>
  <si>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</si>
  <si>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</si>
  <si>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</si>
  <si>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</si>
  <si>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</si>
  <si>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</si>
  <si>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</si>
  <si>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</si>
  <si>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</si>
  <si>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</si>
  <si>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</si>
  <si>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</si>
  <si>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</si>
  <si>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</si>
  <si>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</si>
  <si>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</si>
  <si>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</si>
  <si>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</si>
  <si>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</si>
  <si>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</si>
  <si>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</si>
  <si>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</si>
  <si>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</si>
  <si>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</si>
  <si>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</si>
  <si>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</si>
  <si>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</si>
  <si>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</si>
  <si>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</si>
  <si>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</si>
  <si>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</si>
  <si>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</si>
  <si>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</si>
  <si>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</si>
  <si>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</si>
  <si>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</si>
  <si>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</si>
  <si>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</si>
  <si>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</si>
  <si>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</si>
  <si>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</si>
  <si>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</si>
  <si>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</si>
  <si>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</si>
  <si>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</si>
  <si>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</si>
  <si>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</si>
  <si>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</si>
  <si>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</si>
  <si>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</si>
  <si>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</si>
  <si>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</si>
  <si>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</si>
  <si>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</si>
  <si>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</si>
  <si>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</si>
  <si>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</si>
  <si>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</si>
  <si>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</si>
  <si>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</si>
  <si>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</si>
  <si>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</si>
  <si>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</si>
  <si>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</si>
  <si>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</si>
  <si>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</si>
  <si>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</si>
  <si>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</si>
  <si>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</si>
  <si>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</si>
  <si>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</si>
  <si>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</si>
  <si>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</si>
  <si>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</si>
  <si>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</si>
  <si>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</si>
  <si>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</si>
  <si>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</si>
  <si>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</si>
  <si>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</si>
  <si>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</si>
  <si>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</si>
  <si>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</si>
  <si>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</si>
  <si>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</si>
  <si>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</si>
  <si>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</si>
  <si>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</si>
  <si>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</si>
  <si>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</si>
  <si>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</si>
  <si>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</si>
  <si>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</si>
  <si>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</si>
  <si>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</si>
  <si>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</si>
  <si>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</si>
  <si>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</si>
  <si>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</si>
  <si>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</si>
  <si>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</si>
  <si>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</si>
  <si>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</si>
  <si>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</si>
  <si>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</si>
  <si>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</si>
  <si>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</si>
  <si>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</si>
  <si>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</si>
  <si>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</si>
  <si>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</si>
  <si>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</si>
  <si>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</si>
  <si>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</si>
  <si>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</si>
  <si>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</si>
  <si>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</si>
  <si>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</si>
  <si>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</si>
  <si>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</si>
  <si>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</si>
  <si>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</si>
  <si>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</si>
  <si>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</si>
  <si>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</si>
  <si>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</si>
  <si>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</si>
  <si>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</si>
  <si>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</si>
  <si>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</si>
  <si>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</si>
  <si>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</si>
  <si>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</si>
  <si>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</si>
  <si>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</si>
  <si>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</si>
  <si>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</si>
  <si>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</si>
  <si>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</si>
  <si>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</si>
  <si>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</si>
  <si>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</si>
  <si>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</si>
  <si>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</si>
  <si>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</si>
  <si>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</si>
  <si>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</si>
  <si>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</si>
  <si>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</si>
  <si>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</si>
  <si>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</si>
  <si>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</si>
  <si>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</si>
  <si>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</si>
  <si>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</si>
  <si>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</si>
  <si>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</si>
  <si>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</si>
  <si>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</si>
  <si>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</si>
  <si>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</si>
  <si>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</si>
  <si>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</si>
  <si>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</si>
  <si>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</si>
  <si>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</si>
  <si>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</si>
  <si>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</si>
  <si>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</si>
  <si>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</si>
  <si>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</si>
  <si>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</si>
  <si>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</si>
  <si>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</si>
  <si>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</si>
  <si>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</si>
  <si>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</si>
  <si>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</si>
  <si>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</si>
  <si>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</si>
  <si>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</si>
  <si>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</si>
  <si>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</si>
  <si>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</si>
  <si>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</si>
  <si>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</si>
  <si>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</si>
  <si>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</si>
  <si>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</si>
  <si>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</si>
  <si>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</si>
  <si>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</si>
  <si>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</si>
  <si>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</si>
  <si>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</si>
  <si>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</si>
  <si>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</si>
  <si>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</si>
  <si>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</si>
  <si>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</si>
  <si>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</si>
  <si>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</si>
  <si>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</si>
  <si>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</si>
  <si>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</si>
  <si>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</si>
  <si>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</si>
  <si>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</si>
  <si>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</si>
  <si>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</si>
  <si>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</si>
  <si>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</si>
  <si>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</si>
  <si>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</si>
  <si>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</si>
  <si>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</si>
  <si>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</si>
  <si>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</si>
  <si>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</si>
  <si>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</si>
  <si>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</si>
  <si>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</si>
  <si>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</si>
  <si>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</si>
  <si>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</si>
  <si>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</si>
  <si>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</si>
  <si>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</si>
  <si>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</si>
  <si>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</si>
  <si>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</si>
  <si>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</si>
  <si>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</si>
  <si>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</si>
  <si>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</si>
  <si>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</si>
  <si>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</si>
  <si>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</si>
  <si>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</si>
  <si>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</si>
  <si>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</si>
  <si>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</si>
  <si>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</si>
  <si>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</si>
  <si>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</si>
  <si>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</si>
  <si>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</si>
  <si>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</si>
  <si>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</si>
  <si>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</si>
  <si>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</si>
  <si>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</si>
  <si>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</si>
  <si>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</si>
  <si>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</si>
  <si>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</si>
  <si>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</si>
  <si>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</si>
  <si>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</si>
  <si>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</si>
  <si>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</si>
  <si>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</si>
  <si>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</si>
  <si>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</si>
  <si>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</si>
  <si>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</si>
  <si>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</si>
  <si>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</si>
  <si>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</si>
  <si>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</si>
  <si>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</si>
  <si>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</si>
  <si>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</si>
  <si>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</si>
  <si>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</si>
  <si>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</si>
  <si>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</si>
  <si>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</si>
  <si>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</si>
  <si>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</si>
  <si>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</si>
  <si>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</si>
  <si>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</si>
  <si>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</si>
  <si>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</si>
  <si>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</si>
  <si>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</si>
  <si>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</si>
  <si>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</si>
  <si>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</si>
  <si>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</si>
  <si>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</si>
  <si>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</si>
  <si>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</si>
  <si>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</si>
  <si>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</si>
  <si>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</si>
  <si>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</si>
  <si>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</si>
  <si>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</si>
  <si>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</si>
  <si>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</si>
  <si>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</si>
  <si>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</si>
  <si>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</si>
  <si>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</si>
  <si>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</si>
  <si>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</si>
  <si>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</si>
  <si>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</si>
  <si>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</si>
  <si>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</si>
  <si>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</si>
  <si>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</si>
  <si>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</si>
  <si>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</si>
  <si>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</si>
  <si>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</si>
  <si>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</si>
  <si>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</si>
  <si>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</si>
  <si>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</si>
  <si>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</si>
  <si>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</si>
  <si>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</si>
  <si>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</si>
  <si>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</si>
  <si>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</si>
  <si>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</si>
  <si>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</si>
  <si>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</si>
  <si>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</si>
  <si>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</si>
  <si>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</si>
  <si>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</si>
  <si>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</si>
  <si>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</si>
  <si>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</si>
  <si>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</si>
  <si>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</si>
  <si>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</si>
  <si>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</si>
  <si>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</si>
  <si>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</si>
  <si>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</si>
  <si>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</si>
  <si>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</si>
  <si>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</si>
  <si>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</si>
  <si>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</si>
  <si>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</si>
  <si>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</si>
  <si>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</si>
  <si>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</si>
  <si>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</si>
  <si>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</si>
  <si>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</si>
  <si>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</si>
  <si>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</si>
  <si>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</si>
  <si>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</si>
  <si>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</si>
  <si>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</si>
  <si>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</si>
  <si>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</si>
  <si>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</si>
  <si>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</si>
  <si>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</si>
  <si>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</si>
  <si>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</si>
  <si>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</si>
  <si>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</si>
  <si>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</si>
  <si>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</si>
  <si>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</si>
  <si>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</si>
  <si>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</si>
  <si>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</si>
  <si>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</si>
  <si>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</si>
  <si>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</si>
  <si>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</si>
  <si>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</si>
  <si>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</si>
  <si>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</si>
  <si>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</si>
  <si>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</si>
  <si>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</si>
  <si>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</si>
  <si>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</si>
  <si>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</si>
  <si>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</si>
  <si>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</si>
  <si>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</si>
  <si>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</si>
  <si>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</si>
  <si>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</si>
  <si>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</si>
  <si>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</si>
  <si>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</si>
  <si>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</si>
  <si>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</si>
  <si>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</si>
  <si>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</si>
  <si>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</si>
  <si>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</si>
  <si>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</si>
  <si>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</si>
  <si>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</si>
  <si>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</si>
  <si>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</si>
  <si>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</si>
  <si>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</si>
  <si>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</si>
  <si>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</si>
  <si>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</si>
  <si>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</si>
  <si>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</si>
  <si>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</si>
  <si>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</si>
  <si>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</si>
  <si>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</si>
  <si>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</si>
  <si>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</si>
  <si>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</si>
  <si>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</si>
  <si>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</si>
  <si>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</si>
  <si>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</si>
  <si>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</si>
  <si>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</si>
  <si>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</si>
  <si>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</si>
  <si>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</si>
  <si>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</si>
  <si>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</si>
  <si>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</si>
  <si>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</si>
  <si>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</si>
  <si>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</si>
  <si>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</si>
  <si>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</si>
  <si>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</si>
  <si>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</si>
  <si>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</si>
  <si>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</si>
  <si>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</si>
  <si>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</si>
  <si>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</si>
  <si>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</si>
  <si>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</si>
  <si>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</si>
  <si>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</si>
  <si>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</si>
  <si>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</si>
  <si>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</si>
  <si>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</si>
  <si>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</si>
  <si>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</si>
  <si>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</si>
  <si>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</si>
  <si>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</si>
  <si>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</si>
  <si>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</si>
  <si>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</si>
  <si>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</si>
  <si>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</si>
  <si>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</si>
  <si>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</si>
  <si>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</si>
  <si>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</si>
  <si>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</si>
  <si>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</si>
  <si>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</si>
  <si>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</si>
  <si>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</si>
  <si>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</si>
  <si>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</si>
  <si>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</si>
  <si>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</si>
  <si>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</si>
  <si>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</si>
  <si>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</si>
  <si>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</si>
  <si>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</si>
  <si>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</si>
  <si>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</si>
  <si>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</si>
  <si>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</si>
  <si>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</si>
  <si>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</si>
  <si>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</si>
  <si>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</si>
  <si>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</si>
  <si>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</si>
  <si>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</si>
  <si>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</si>
  <si>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</si>
  <si>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</si>
  <si>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</si>
  <si>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</si>
  <si>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</si>
  <si>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</si>
  <si>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</si>
  <si>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</si>
  <si>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</si>
  <si>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</si>
  <si>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</si>
  <si>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</si>
  <si>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</si>
  <si>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</si>
  <si>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</si>
  <si>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</si>
  <si>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</si>
  <si>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</si>
  <si>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</si>
  <si>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</si>
  <si>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</si>
  <si>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</si>
  <si>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</si>
  <si>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</si>
  <si>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</si>
  <si>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</si>
  <si>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</si>
  <si>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</si>
  <si>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</si>
  <si>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</si>
  <si>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</si>
  <si>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</si>
  <si>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</si>
  <si>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</si>
  <si>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</si>
  <si>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</si>
  <si>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</si>
  <si>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</si>
  <si>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</si>
  <si>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</si>
  <si>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</si>
  <si>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</si>
  <si>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</si>
  <si>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</si>
  <si>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</si>
  <si>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</si>
  <si>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</si>
  <si>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</si>
  <si>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</si>
  <si>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</si>
  <si>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</si>
  <si>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</si>
  <si>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</si>
  <si>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</si>
  <si>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</si>
  <si>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</si>
  <si>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</si>
  <si>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</si>
  <si>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</si>
  <si>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</si>
  <si>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</si>
  <si>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</si>
  <si>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</si>
  <si>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</si>
  <si>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</si>
  <si>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</si>
  <si>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</si>
  <si>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</si>
  <si>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</si>
  <si>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</si>
  <si>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</si>
  <si>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</si>
  <si>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</si>
  <si>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</si>
  <si>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</si>
  <si>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</si>
  <si>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</si>
  <si>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</si>
  <si>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</si>
  <si>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</si>
  <si>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</si>
  <si>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</si>
  <si>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</si>
  <si>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</si>
  <si>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</si>
  <si>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</si>
  <si>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</si>
  <si>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</si>
  <si>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</si>
  <si>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</si>
  <si>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</si>
  <si>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</si>
  <si>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</si>
  <si>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</si>
  <si>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</si>
  <si>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</si>
  <si>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</si>
  <si>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</si>
  <si>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</si>
  <si>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</si>
  <si>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</si>
  <si>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</si>
  <si>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</si>
  <si>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</si>
  <si>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</si>
  <si>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</si>
  <si>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</si>
  <si>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</si>
  <si>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</si>
  <si>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</si>
  <si>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</si>
  <si>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</si>
  <si>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</si>
  <si>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</si>
  <si>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</si>
  <si>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</si>
  <si>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</si>
  <si>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</si>
  <si>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</si>
  <si>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</si>
  <si>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</si>
  <si>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</si>
  <si>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</si>
  <si>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</si>
  <si>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</si>
  <si>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</si>
  <si>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</si>
  <si>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</si>
  <si>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</si>
  <si>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</si>
  <si>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</si>
  <si>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</si>
  <si>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</si>
  <si>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</si>
  <si>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</si>
  <si>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</si>
  <si>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</si>
  <si>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</si>
  <si>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</si>
  <si>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</si>
  <si>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</si>
  <si>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</si>
  <si>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</si>
  <si>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</si>
  <si>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</si>
  <si>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</si>
  <si>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</si>
  <si>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</si>
  <si>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</si>
  <si>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</si>
  <si>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</si>
  <si>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</si>
  <si>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</si>
  <si>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</si>
  <si>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</si>
  <si>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</si>
  <si>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</si>
  <si>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</si>
  <si>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</si>
  <si>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</si>
  <si>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</si>
  <si>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</si>
  <si>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</si>
  <si>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</si>
  <si>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</si>
  <si>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</si>
  <si>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</si>
  <si>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</si>
  <si>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</si>
  <si>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</si>
  <si>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</si>
  <si>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</si>
  <si>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</si>
  <si>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</si>
  <si>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</si>
  <si>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</si>
  <si>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</si>
  <si>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</si>
  <si>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</si>
  <si>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</si>
  <si>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</si>
  <si>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</si>
  <si>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</si>
  <si>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</si>
  <si>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</si>
  <si>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</si>
  <si>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</si>
  <si>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</si>
  <si>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</si>
  <si>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</si>
  <si>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</si>
  <si>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</si>
  <si>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</si>
  <si>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</si>
  <si>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</si>
  <si>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</si>
  <si>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</si>
  <si>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</si>
  <si>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</si>
  <si>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</si>
  <si>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</si>
  <si>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</si>
  <si>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</si>
  <si>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</si>
  <si>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</si>
  <si>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</si>
  <si>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</si>
  <si>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</si>
  <si>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</si>
  <si>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</si>
  <si>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</si>
  <si>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</si>
  <si>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</si>
  <si>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</si>
  <si>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</si>
  <si>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</si>
  <si>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</si>
  <si>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</si>
  <si>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</si>
  <si>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</si>
  <si>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</si>
  <si>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</si>
  <si>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</si>
  <si>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</si>
  <si>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</si>
  <si>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</si>
  <si>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</si>
  <si>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</si>
  <si>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</si>
  <si>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</si>
  <si>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</si>
  <si>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</si>
  <si>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</si>
  <si>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</si>
  <si>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</si>
  <si>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</si>
  <si>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</si>
  <si>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</si>
  <si>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</si>
  <si>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</si>
  <si>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</si>
  <si>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</si>
  <si>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</si>
  <si>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</si>
  <si>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</si>
  <si>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</si>
  <si>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</si>
  <si>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</si>
  <si>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</si>
  <si>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</si>
  <si>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</si>
  <si>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</si>
  <si>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</si>
  <si>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</si>
  <si>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</si>
  <si>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</si>
  <si>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</si>
  <si>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</si>
  <si>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</si>
  <si>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</si>
  <si>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</si>
  <si>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</si>
  <si>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</si>
  <si>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</si>
  <si>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</si>
  <si>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</si>
  <si>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</si>
  <si>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</si>
  <si>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</si>
  <si>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</si>
  <si>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</si>
  <si>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</si>
  <si>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</si>
  <si>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</si>
  <si>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</si>
  <si>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</si>
  <si>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</si>
  <si>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</si>
  <si>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</si>
  <si>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</si>
  <si>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</si>
  <si>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</si>
  <si>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</si>
  <si>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</si>
  <si>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</si>
  <si>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</si>
  <si>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</si>
  <si>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</si>
  <si>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</si>
  <si>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</si>
  <si>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</si>
  <si>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</si>
  <si>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</si>
  <si>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</si>
  <si>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</si>
  <si>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</si>
  <si>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</si>
  <si>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</si>
  <si>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</si>
  <si>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</si>
  <si>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</si>
  <si>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</si>
  <si>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</si>
  <si>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</si>
  <si>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</si>
  <si>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</si>
  <si>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</si>
  <si>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</si>
  <si>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</si>
  <si>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</si>
  <si>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</si>
  <si>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</si>
  <si>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</si>
  <si>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</si>
  <si>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</si>
  <si>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</si>
  <si>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</si>
  <si>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</si>
  <si>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</si>
  <si>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</si>
  <si>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</si>
  <si>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</si>
  <si>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</si>
  <si>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</si>
  <si>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</si>
  <si>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</si>
  <si>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</si>
  <si>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</si>
  <si>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</si>
  <si>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</si>
  <si>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</si>
  <si>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</si>
  <si>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</si>
  <si>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</si>
  <si>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</si>
  <si>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</si>
  <si>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</si>
  <si>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</si>
  <si>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</si>
  <si>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</si>
  <si>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</si>
  <si>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</si>
  <si>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</si>
  <si>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</si>
  <si>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</si>
  <si>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</si>
  <si>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</si>
  <si>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</si>
  <si>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</si>
  <si>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</si>
  <si>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</si>
  <si>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</si>
  <si>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</si>
  <si>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</si>
  <si>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</si>
  <si>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</si>
  <si>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</si>
  <si>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</si>
  <si>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</si>
  <si>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</si>
  <si>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</si>
  <si>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</si>
  <si>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</si>
  <si>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</si>
  <si>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</si>
  <si>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</si>
  <si>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</si>
  <si>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</si>
  <si>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</si>
  <si>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</si>
  <si>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</si>
  <si>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</si>
  <si>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</si>
  <si>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</si>
  <si>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</si>
  <si>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</si>
  <si>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</si>
  <si>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</si>
  <si>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</si>
  <si>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</si>
  <si>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</si>
  <si>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</si>
  <si>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</si>
  <si>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</si>
  <si>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</si>
  <si>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</si>
  <si>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</si>
  <si>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</si>
  <si>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</si>
  <si>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</si>
  <si>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</si>
  <si>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</si>
  <si>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</si>
  <si>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</si>
  <si>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</si>
  <si>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</si>
  <si>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</si>
  <si>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</si>
  <si>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</si>
  <si>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</si>
  <si>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</si>
  <si>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</si>
  <si>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</si>
  <si>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</si>
  <si>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</si>
  <si>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</si>
  <si>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</si>
  <si>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</si>
  <si>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</si>
  <si>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</si>
  <si>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</si>
  <si>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</si>
  <si>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</si>
  <si>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</si>
  <si>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</si>
  <si>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</si>
  <si>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</si>
  <si>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</si>
  <si>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</si>
  <si>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</si>
  <si>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</si>
  <si>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</si>
  <si>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</si>
  <si>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</si>
  <si>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</si>
  <si>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</si>
  <si>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</si>
  <si>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</si>
  <si>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</si>
  <si>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</si>
  <si>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</si>
  <si>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</si>
  <si>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</si>
  <si>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</si>
  <si>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</si>
  <si>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</si>
  <si>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</si>
  <si>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</si>
  <si>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</si>
  <si>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</si>
  <si>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</si>
  <si>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</si>
  <si>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</si>
  <si>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</si>
  <si>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</si>
  <si>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</si>
  <si>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</si>
  <si>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</si>
  <si>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</si>
  <si>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</si>
  <si>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</si>
  <si>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</si>
  <si>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</si>
  <si>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</si>
  <si>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</si>
  <si>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</si>
  <si>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</si>
  <si>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</si>
  <si>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</si>
  <si>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</si>
  <si>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</si>
  <si>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</si>
  <si>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</si>
  <si>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</si>
  <si>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</si>
  <si>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</si>
  <si>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</si>
  <si>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</si>
  <si>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</si>
  <si>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</si>
  <si>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</si>
  <si>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</si>
  <si>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</si>
  <si>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</si>
  <si>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</si>
  <si>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</si>
  <si>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</si>
  <si>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</si>
  <si>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</si>
  <si>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</si>
  <si>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</si>
  <si>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</si>
  <si>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</si>
  <si>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</si>
  <si>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</si>
  <si>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</si>
  <si>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</si>
  <si>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</si>
  <si>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</si>
  <si>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</si>
  <si>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</si>
  <si>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</si>
  <si>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</si>
  <si>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</si>
  <si>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</si>
  <si>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</si>
  <si>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</si>
  <si>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</si>
  <si>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</si>
  <si>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</si>
  <si>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</si>
  <si>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</si>
  <si>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</si>
  <si>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</si>
  <si>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</si>
  <si>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</si>
  <si>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</si>
  <si>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</si>
  <si>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</si>
  <si>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</si>
  <si>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</si>
  <si>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</si>
  <si>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</si>
  <si>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</si>
  <si>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</si>
  <si>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</si>
  <si>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</si>
  <si>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</si>
  <si>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</si>
  <si>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</si>
  <si>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</si>
  <si>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</si>
  <si>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</si>
  <si>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</si>
  <si>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</si>
  <si>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</si>
  <si>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</si>
  <si>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</si>
  <si>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</si>
  <si>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</si>
  <si>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</si>
  <si>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</si>
  <si>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</si>
  <si>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</si>
  <si>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</si>
  <si>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</si>
  <si>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</si>
  <si>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</si>
  <si>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</si>
  <si>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</si>
  <si>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</si>
  <si>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</si>
  <si>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</si>
  <si>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</si>
  <si>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</si>
  <si>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</si>
  <si>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</si>
  <si>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</si>
  <si>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</si>
  <si>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</si>
  <si>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</si>
  <si>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</si>
  <si>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</si>
  <si>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</si>
  <si>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</si>
  <si>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</si>
  <si>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</si>
  <si>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</si>
  <si>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</si>
  <si>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</si>
  <si>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</si>
  <si>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</si>
  <si>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</si>
  <si>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</si>
  <si>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</si>
  <si>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</si>
  <si>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</si>
  <si>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</si>
  <si>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</si>
  <si>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</si>
  <si>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</si>
  <si>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</si>
  <si>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</si>
  <si>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</si>
  <si>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</si>
  <si>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</si>
  <si>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</si>
  <si>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</si>
  <si>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</si>
  <si>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</si>
  <si>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</si>
  <si>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</si>
  <si>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</si>
  <si>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</si>
  <si>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</si>
  <si>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</si>
  <si>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</si>
  <si>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</si>
  <si>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</si>
  <si>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</si>
  <si>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</si>
  <si>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</si>
  <si>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</si>
  <si>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</si>
  <si>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</si>
  <si>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</si>
  <si>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</si>
  <si>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</si>
  <si>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</si>
  <si>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</si>
  <si>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</si>
  <si>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</si>
  <si>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</si>
  <si>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</si>
  <si>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</si>
  <si>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</si>
  <si>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</si>
  <si>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</si>
  <si>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</si>
  <si>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</si>
  <si>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</si>
  <si>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</si>
  <si>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</si>
  <si>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</si>
  <si>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</si>
  <si>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</si>
  <si>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</si>
  <si>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</si>
  <si>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</si>
  <si>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</si>
  <si>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</si>
  <si>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</si>
  <si>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</si>
  <si>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</si>
  <si>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</si>
  <si>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</si>
  <si>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</si>
  <si>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</si>
  <si>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</si>
  <si>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</si>
  <si>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</si>
  <si>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</si>
  <si>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</si>
  <si>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</si>
  <si>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</si>
  <si>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</si>
  <si>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</si>
  <si>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</si>
  <si>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</si>
  <si>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</si>
  <si>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</si>
  <si>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</si>
  <si>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</si>
  <si>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</si>
  <si>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</si>
  <si>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</si>
  <si>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</si>
  <si>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</si>
  <si>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</si>
  <si>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</si>
  <si>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</si>
  <si>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</si>
  <si>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</si>
  <si>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</si>
  <si>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</si>
  <si>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</si>
  <si>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</si>
  <si>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</si>
  <si>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</si>
  <si>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</si>
  <si>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</si>
  <si>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</si>
  <si>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</si>
  <si>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</si>
  <si>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</si>
  <si>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</si>
  <si>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</si>
  <si>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</si>
  <si>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</si>
  <si>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</si>
  <si>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</si>
  <si>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</si>
  <si>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</si>
  <si>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</si>
  <si>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</si>
  <si>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</si>
  <si>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</si>
  <si>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</si>
  <si>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</si>
  <si>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</si>
  <si>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</si>
  <si>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</si>
  <si>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</si>
  <si>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</si>
  <si>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</si>
  <si>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</si>
  <si>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</si>
  <si>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</si>
  <si>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</si>
  <si>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</si>
  <si>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</si>
  <si>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</si>
  <si>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</si>
  <si>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</si>
  <si>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</si>
  <si>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</si>
  <si>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</si>
  <si>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</si>
  <si>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</si>
  <si>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</si>
  <si>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</si>
  <si>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</si>
  <si>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</si>
  <si>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</si>
  <si>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</si>
  <si>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</si>
  <si>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</si>
  <si>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</si>
  <si>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</si>
  <si>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</si>
  <si>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</si>
  <si>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</si>
  <si>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</si>
  <si>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</si>
  <si>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</si>
  <si>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</si>
  <si>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</si>
  <si>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</si>
  <si>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</si>
  <si>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</si>
  <si>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</si>
  <si>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</si>
  <si>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</si>
  <si>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</si>
  <si>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</si>
  <si>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</si>
  <si>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</si>
  <si>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</si>
  <si>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</si>
  <si>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</si>
  <si>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</si>
  <si>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</si>
  <si>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</si>
  <si>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</si>
  <si>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</si>
  <si>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</si>
  <si>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</si>
  <si>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</si>
  <si>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</si>
  <si>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</si>
  <si>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</si>
  <si>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</si>
  <si>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</si>
  <si>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</si>
  <si>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</si>
  <si>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</si>
  <si>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</si>
  <si>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</si>
  <si>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</si>
  <si>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</si>
  <si>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</si>
  <si>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</si>
  <si>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</si>
  <si>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</si>
  <si>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</si>
  <si>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</si>
  <si>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</si>
  <si>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</si>
  <si>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</si>
  <si>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</si>
  <si>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</si>
  <si>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</si>
  <si>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</si>
  <si>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</si>
  <si>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</si>
  <si>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</si>
  <si>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</si>
  <si>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</si>
  <si>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</si>
  <si>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</si>
  <si>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</si>
  <si>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</si>
  <si>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</si>
  <si>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</si>
  <si>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</si>
  <si>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</si>
  <si>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</si>
  <si>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</si>
  <si>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</si>
  <si>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</si>
  <si>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</si>
  <si>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</si>
  <si>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</si>
  <si>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</si>
  <si>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</si>
  <si>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</si>
  <si>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</si>
  <si>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</si>
  <si>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</si>
  <si>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</si>
  <si>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</si>
  <si>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</si>
  <si>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</si>
  <si>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</si>
  <si>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</si>
  <si>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</si>
  <si>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</si>
  <si>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</si>
  <si>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</si>
  <si>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</si>
  <si>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</si>
  <si>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</si>
  <si>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</si>
  <si>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</si>
  <si>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</si>
  <si>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</si>
  <si>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</si>
  <si>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</si>
  <si>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</si>
  <si>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</si>
  <si>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</si>
  <si>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</si>
  <si>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</si>
  <si>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</si>
  <si>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</si>
  <si>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</si>
  <si>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</si>
  <si>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</si>
  <si>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</si>
  <si>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</si>
  <si>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</si>
  <si>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</si>
  <si>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</si>
  <si>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</si>
  <si>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</si>
  <si>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</si>
  <si>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</si>
  <si>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</si>
  <si>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</si>
  <si>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</si>
  <si>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</si>
  <si>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</si>
  <si>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</si>
  <si>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</si>
  <si>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</si>
  <si>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</si>
  <si>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</si>
  <si>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</si>
  <si>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</si>
  <si>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</si>
  <si>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</si>
  <si>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</si>
  <si>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</si>
  <si>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</si>
  <si>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</si>
  <si>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</si>
  <si>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</si>
  <si>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</si>
  <si>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</si>
  <si>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</si>
  <si>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</si>
  <si>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</si>
  <si>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</si>
  <si>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</si>
  <si>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</si>
  <si>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</si>
  <si>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</si>
  <si>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</si>
  <si>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</si>
  <si>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</si>
  <si>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</si>
  <si>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</si>
  <si>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</si>
  <si>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</si>
  <si>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</si>
  <si>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</si>
  <si>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</si>
  <si>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</si>
  <si>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</si>
  <si>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</si>
  <si>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</si>
  <si>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</si>
  <si>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</si>
  <si>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</si>
  <si>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</si>
  <si>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</si>
  <si>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</si>
  <si>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</si>
  <si>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</si>
  <si>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</si>
  <si>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</si>
  <si>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</si>
  <si>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</si>
  <si>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</si>
  <si>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</si>
  <si>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</si>
  <si>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</si>
  <si>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</si>
  <si>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</si>
  <si>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</si>
  <si>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</si>
  <si>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</si>
  <si>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</si>
  <si>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</si>
  <si>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</si>
  <si>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</si>
  <si>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</si>
  <si>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</si>
  <si>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</si>
  <si>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</si>
  <si>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</si>
  <si>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</si>
  <si>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</si>
  <si>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</si>
  <si>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</si>
  <si>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</si>
  <si>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</si>
  <si>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</si>
  <si>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</si>
  <si>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</si>
  <si>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</si>
  <si>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</si>
  <si>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</si>
  <si>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</si>
  <si>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</si>
  <si>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</si>
  <si>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</si>
  <si>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</si>
  <si>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</si>
  <si>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</si>
  <si>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</si>
  <si>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</si>
  <si>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</si>
  <si>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</si>
  <si>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</si>
  <si>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</si>
  <si>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</si>
  <si>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</si>
  <si>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</si>
  <si>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</si>
  <si>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</si>
  <si>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</si>
  <si>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</si>
  <si>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</si>
  <si>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</si>
  <si>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</si>
  <si>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</si>
  <si>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</si>
  <si>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</si>
  <si>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</si>
  <si>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</si>
  <si>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</si>
  <si>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</si>
  <si>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</si>
  <si>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</si>
  <si>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</si>
  <si>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</si>
  <si>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</si>
  <si>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</si>
  <si>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</si>
  <si>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</si>
  <si>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</si>
  <si>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</si>
  <si>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</si>
  <si>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</si>
  <si>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</si>
  <si>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</si>
  <si>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</si>
  <si>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</si>
  <si>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</si>
  <si>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</si>
  <si>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</si>
  <si>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</si>
  <si>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</si>
  <si>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</si>
  <si>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</si>
  <si>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</si>
  <si>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</si>
  <si>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</si>
  <si>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</si>
  <si>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</si>
  <si>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</si>
  <si>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</si>
  <si>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</si>
  <si>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</si>
  <si>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</si>
  <si>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</si>
  <si>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</si>
  <si>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</si>
  <si>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</si>
  <si>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</si>
  <si>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</si>
  <si>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</si>
  <si>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</si>
  <si>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</si>
  <si>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</si>
  <si>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</si>
  <si>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</si>
  <si>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</si>
  <si>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</si>
  <si>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</si>
  <si>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</si>
  <si>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</si>
  <si>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</si>
  <si>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</si>
  <si>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</si>
  <si>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</si>
  <si>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</si>
  <si>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</si>
  <si>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</si>
  <si>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</si>
  <si>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</si>
  <si>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</si>
  <si>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</si>
  <si>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</si>
  <si>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</si>
  <si>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</si>
  <si>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</si>
  <si>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</si>
  <si>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</si>
  <si>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</si>
  <si>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</si>
  <si>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</si>
  <si>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</si>
  <si>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</si>
  <si>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</si>
  <si>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</si>
  <si>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</si>
  <si>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</si>
  <si>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</si>
  <si>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</si>
  <si>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</si>
  <si>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</si>
  <si>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</si>
  <si>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</si>
  <si>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</si>
  <si>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</si>
  <si>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</si>
  <si>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</si>
  <si>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</si>
  <si>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</si>
  <si>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</si>
  <si>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</si>
  <si>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</si>
  <si>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</si>
  <si>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</si>
  <si>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</si>
  <si>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</si>
  <si>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</si>
  <si>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</si>
  <si>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</si>
  <si>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</si>
  <si>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</si>
  <si>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</si>
  <si>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</si>
  <si>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</si>
  <si>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</si>
  <si>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</si>
  <si>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</si>
  <si>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</si>
  <si>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</si>
  <si>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</si>
  <si>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</si>
  <si>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</si>
  <si>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</si>
  <si>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</si>
  <si>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</si>
  <si>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</si>
  <si>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</si>
  <si>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</si>
  <si>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</si>
  <si>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</si>
  <si>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</si>
  <si>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</si>
  <si>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</si>
  <si>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</si>
  <si>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</si>
  <si>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</si>
  <si>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</si>
  <si>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</si>
  <si>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</si>
  <si>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</si>
  <si>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</si>
  <si>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</si>
  <si>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</si>
  <si>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</si>
  <si>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</si>
  <si>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</si>
  <si>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</si>
  <si>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</si>
  <si>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</si>
  <si>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</si>
  <si>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</si>
  <si>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</si>
  <si>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</si>
  <si>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</si>
  <si>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</si>
  <si>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</si>
  <si>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</si>
  <si>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</si>
  <si>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</si>
  <si>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</si>
  <si>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</si>
  <si>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</si>
  <si>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</si>
  <si>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</si>
  <si>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</si>
  <si>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</si>
  <si>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</si>
  <si>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</si>
  <si>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</si>
  <si>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</si>
  <si>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</si>
  <si>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</si>
  <si>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</si>
  <si>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</si>
  <si>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</si>
  <si>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</si>
  <si>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</si>
  <si>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</si>
  <si>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</si>
  <si>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</si>
  <si>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</si>
  <si>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</si>
  <si>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</si>
  <si>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</si>
  <si>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</si>
  <si>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</si>
  <si>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</si>
  <si>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</si>
  <si>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</si>
  <si>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</si>
  <si>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</si>
  <si>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</si>
  <si>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</si>
  <si>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</si>
  <si>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</si>
  <si>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</si>
  <si>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</si>
  <si>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</si>
  <si>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</si>
  <si>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</si>
  <si>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</si>
  <si>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</si>
  <si>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</si>
  <si>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</si>
  <si>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</si>
  <si>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</si>
  <si>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</si>
  <si>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</si>
  <si>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</si>
  <si>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</si>
  <si>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</si>
  <si>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</si>
  <si>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</si>
  <si>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</si>
  <si>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</si>
  <si>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</si>
  <si>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</si>
  <si>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</si>
  <si>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</si>
  <si>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</si>
  <si>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</si>
  <si>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</si>
  <si>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</si>
  <si>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</si>
  <si>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</si>
  <si>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</si>
  <si>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</si>
  <si>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</si>
  <si>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</si>
  <si>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</si>
  <si>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</si>
  <si>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</si>
  <si>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</si>
  <si>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</si>
  <si>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</si>
  <si>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</si>
  <si>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</si>
  <si>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</si>
  <si>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</si>
  <si>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</si>
  <si>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</si>
  <si>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</si>
  <si>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</si>
  <si>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</si>
  <si>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</si>
  <si>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</si>
  <si>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</si>
  <si>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</si>
  <si>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</si>
  <si>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</si>
  <si>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</si>
  <si>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</si>
  <si>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</si>
  <si>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</si>
  <si>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</si>
  <si>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</si>
  <si>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</si>
  <si>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</si>
  <si>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</si>
  <si>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</si>
  <si>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</si>
  <si>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</si>
  <si>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</si>
  <si>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</si>
  <si>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</si>
  <si>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</si>
  <si>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</si>
  <si>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</si>
  <si>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</si>
  <si>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</si>
  <si>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</si>
  <si>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</si>
  <si>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</si>
  <si>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</si>
  <si>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</si>
  <si>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</si>
  <si>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</si>
  <si>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</si>
  <si>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</si>
  <si>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</si>
  <si>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</si>
  <si>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</si>
  <si>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</si>
  <si>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</si>
  <si>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</si>
  <si>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</si>
  <si>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</si>
  <si>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</si>
  <si>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</si>
  <si>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</si>
  <si>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</si>
  <si>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</si>
  <si>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</si>
  <si>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</si>
  <si>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</si>
  <si>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</si>
  <si>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</si>
  <si>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</si>
  <si>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</si>
  <si>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</si>
  <si>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</si>
  <si>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</si>
  <si>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</si>
  <si>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</si>
  <si>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</si>
  <si>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</si>
  <si>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</si>
  <si>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</si>
  <si>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</si>
  <si>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</si>
  <si>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</si>
  <si>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</si>
  <si>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</si>
  <si>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</si>
  <si>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</si>
  <si>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</si>
  <si>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</si>
  <si>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</si>
  <si>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</si>
  <si>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</si>
  <si>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</si>
  <si>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</si>
  <si>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</si>
  <si>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</si>
  <si>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</si>
  <si>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</si>
  <si>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</si>
  <si>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</si>
  <si>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</si>
  <si>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</si>
  <si>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</si>
  <si>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</si>
  <si>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</si>
  <si>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</si>
  <si>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</si>
  <si>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</si>
  <si>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</si>
  <si>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</si>
  <si>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</si>
  <si>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</si>
  <si>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</si>
  <si>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</si>
  <si>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</si>
  <si>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</si>
  <si>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</si>
  <si>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</si>
  <si>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</si>
  <si>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</si>
  <si>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</si>
  <si>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</si>
  <si>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</si>
  <si>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</si>
  <si>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</si>
  <si>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</si>
  <si>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</si>
  <si>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</si>
  <si>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</si>
  <si>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</si>
  <si>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</si>
  <si>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</si>
  <si>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</si>
  <si>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</si>
  <si>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</si>
  <si>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</si>
  <si>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</si>
  <si>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</si>
  <si>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</si>
  <si>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</si>
  <si>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</si>
  <si>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</si>
  <si>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</si>
  <si>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</si>
  <si>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</si>
  <si>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</si>
  <si>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</si>
  <si>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</si>
  <si>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</si>
  <si>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</si>
  <si>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</si>
  <si>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</si>
  <si>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</si>
  <si>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</si>
  <si>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</si>
  <si>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</si>
  <si>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</si>
  <si>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</si>
  <si>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</si>
  <si>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</si>
  <si>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</si>
  <si>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</si>
  <si>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</si>
  <si>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</si>
  <si>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</si>
  <si>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</si>
  <si>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</si>
  <si>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</si>
  <si>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</si>
  <si>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</si>
  <si>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</si>
  <si>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</si>
  <si>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</si>
  <si>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</si>
  <si>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</si>
  <si>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</si>
  <si>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</si>
  <si>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</si>
  <si>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</si>
  <si>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</si>
  <si>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</si>
  <si>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</si>
  <si>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</si>
  <si>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</si>
  <si>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</si>
  <si>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</si>
  <si>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</si>
  <si>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</si>
  <si>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</si>
  <si>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</si>
  <si>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</si>
  <si>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</si>
  <si>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</si>
  <si>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</si>
  <si>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</si>
  <si>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</si>
  <si>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</si>
  <si>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</si>
  <si>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</si>
  <si>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</si>
  <si>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</si>
  <si>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</si>
  <si>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</si>
  <si>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</si>
  <si>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</si>
  <si>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</si>
  <si>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</si>
  <si>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</si>
  <si>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</si>
  <si>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</si>
  <si>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</si>
  <si>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</si>
  <si>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</si>
  <si>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</si>
  <si>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</si>
  <si>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</si>
  <si>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</si>
  <si>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</si>
  <si>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</si>
  <si>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</si>
  <si>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</si>
  <si>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</si>
  <si>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</si>
  <si>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</si>
  <si>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</si>
  <si>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</si>
  <si>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</si>
  <si>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</si>
  <si>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</si>
  <si>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</si>
  <si>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</si>
  <si>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</si>
  <si>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</si>
  <si>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</si>
  <si>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</si>
  <si>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</si>
  <si>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</si>
  <si>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</si>
  <si>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</si>
  <si>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</si>
  <si>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</si>
  <si>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</si>
  <si>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</si>
  <si>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</si>
  <si>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</si>
  <si>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</si>
  <si>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</si>
  <si>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</si>
  <si>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</si>
  <si>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</si>
  <si>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</si>
  <si>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</si>
  <si>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</si>
  <si>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</si>
  <si>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</si>
  <si>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</si>
  <si>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</si>
  <si>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</si>
  <si>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</si>
  <si>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</si>
  <si>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</si>
  <si>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</si>
  <si>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</si>
  <si>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</si>
  <si>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</si>
  <si>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</si>
  <si>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</si>
  <si>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</si>
  <si>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</si>
  <si>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</si>
  <si>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</si>
  <si>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</si>
  <si>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</si>
  <si>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</si>
  <si>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</si>
  <si>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</si>
  <si>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</si>
  <si>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</si>
  <si>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</si>
  <si>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</si>
  <si>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</si>
  <si>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</si>
  <si>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</si>
  <si>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</si>
  <si>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</si>
  <si>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</si>
  <si>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</si>
  <si>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</si>
  <si>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</si>
  <si>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</si>
  <si>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</si>
  <si>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</si>
  <si>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</si>
  <si>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</si>
  <si>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</si>
  <si>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</si>
  <si>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</si>
  <si>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</si>
  <si>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</si>
  <si>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</si>
  <si>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</si>
  <si>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</si>
  <si>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</si>
  <si>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</si>
  <si>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</si>
  <si>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</si>
  <si>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</si>
  <si>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</si>
  <si>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</si>
  <si>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</si>
  <si>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</si>
  <si>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</si>
  <si>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</si>
  <si>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</si>
  <si>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</si>
  <si>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</si>
  <si>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</si>
  <si>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</si>
  <si>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</si>
  <si>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</si>
  <si>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</si>
  <si>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</si>
  <si>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</si>
  <si>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</si>
  <si>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</si>
  <si>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</si>
  <si>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</si>
  <si>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</si>
  <si>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</si>
  <si>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</si>
  <si>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</si>
  <si>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</si>
  <si>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</si>
  <si>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</si>
  <si>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</si>
  <si>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</si>
  <si>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</si>
  <si>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</si>
  <si>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</si>
  <si>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</si>
  <si>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</si>
  <si>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</si>
  <si>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</si>
  <si>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</si>
  <si>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</si>
  <si>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</si>
  <si>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</si>
  <si>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</si>
  <si>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</si>
  <si>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</si>
  <si>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</si>
  <si>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</si>
  <si>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</si>
  <si>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</si>
  <si>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</si>
  <si>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</si>
  <si>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</si>
  <si>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</si>
  <si>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</si>
  <si>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</si>
  <si>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</si>
  <si>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</si>
  <si>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</si>
  <si>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</si>
  <si>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</si>
  <si>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</si>
  <si>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</si>
  <si>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</si>
  <si>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</si>
  <si>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</si>
  <si>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</si>
  <si>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</si>
  <si>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</si>
  <si>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</si>
  <si>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</si>
  <si>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</si>
  <si>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</si>
  <si>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</si>
  <si>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</si>
  <si>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</si>
  <si>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</si>
  <si>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</si>
  <si>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</si>
  <si>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</si>
  <si>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</si>
  <si>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</si>
  <si>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</si>
  <si>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</si>
  <si>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</si>
  <si>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</si>
  <si>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</si>
  <si>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</si>
  <si>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</si>
  <si>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</si>
  <si>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</si>
  <si>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</si>
  <si>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</si>
  <si>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</si>
  <si>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</si>
  <si>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</si>
  <si>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</si>
  <si>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</si>
  <si>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</si>
  <si>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</si>
  <si>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</si>
  <si>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</si>
  <si>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</si>
  <si>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</si>
  <si>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</si>
  <si>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</si>
  <si>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</si>
  <si>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</si>
  <si>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</si>
  <si>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</si>
  <si>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</si>
  <si>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</si>
  <si>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</si>
  <si>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</si>
  <si>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</si>
  <si>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</si>
  <si>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</si>
  <si>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</si>
  <si>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</si>
  <si>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</si>
  <si>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</si>
  <si>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</si>
  <si>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</si>
  <si>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</si>
  <si>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</si>
  <si>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</si>
  <si>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</si>
  <si>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</si>
  <si>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</si>
  <si>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</si>
  <si>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</si>
  <si>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</si>
  <si>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</si>
  <si>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</si>
  <si>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</si>
  <si>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</si>
  <si>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</si>
  <si>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</si>
  <si>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</si>
  <si>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</si>
  <si>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</si>
  <si>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</si>
  <si>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</si>
  <si>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</si>
  <si>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</si>
  <si>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</si>
  <si>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</si>
  <si>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</si>
  <si>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</si>
  <si>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</si>
  <si>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</si>
  <si>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</si>
  <si>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</si>
  <si>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</si>
  <si>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</si>
  <si>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</si>
  <si>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</si>
  <si>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</si>
  <si>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</si>
  <si>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</si>
  <si>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</si>
  <si>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</si>
  <si>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</si>
  <si>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</si>
  <si>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</si>
  <si>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</si>
  <si>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</si>
  <si>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</si>
  <si>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</si>
  <si>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</si>
  <si>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</si>
  <si>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</si>
  <si>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</si>
  <si>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</si>
  <si>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</si>
  <si>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</si>
  <si>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</si>
  <si>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</si>
  <si>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</si>
  <si>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</si>
  <si>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</si>
  <si>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</si>
  <si>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</si>
  <si>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</si>
  <si>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</si>
  <si>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</si>
  <si>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</si>
  <si>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</si>
  <si>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</si>
  <si>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</si>
  <si>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</si>
  <si>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</si>
  <si>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</si>
  <si>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</si>
  <si>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</si>
  <si>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</si>
  <si>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</si>
  <si>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</si>
  <si>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</si>
  <si>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</si>
  <si>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</si>
  <si>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</si>
  <si>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</si>
  <si>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</si>
  <si>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</si>
  <si>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</si>
  <si>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</si>
  <si>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</si>
  <si>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</si>
  <si>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</si>
  <si>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</si>
  <si>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</si>
  <si>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</si>
  <si>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</si>
  <si>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</si>
  <si>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</si>
  <si>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</si>
  <si>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</si>
  <si>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</si>
  <si>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</si>
  <si>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</si>
  <si>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</si>
  <si>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</si>
  <si>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</si>
  <si>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</si>
  <si>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</si>
  <si>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</si>
  <si>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</si>
  <si>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</si>
  <si>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</si>
  <si>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</si>
  <si>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</si>
  <si>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</si>
  <si>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</si>
  <si>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</si>
  <si>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</si>
  <si>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</si>
  <si>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</si>
  <si>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</si>
  <si>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</si>
  <si>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</si>
  <si>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</si>
  <si>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</si>
  <si>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</si>
  <si>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</si>
  <si>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</si>
  <si>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</si>
  <si>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</si>
  <si>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</si>
  <si>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</si>
  <si>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</si>
  <si>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</si>
  <si>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</si>
  <si>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</si>
  <si>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</si>
  <si>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</si>
  <si>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</si>
  <si>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</si>
  <si>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</si>
  <si>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</si>
  <si>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</si>
  <si>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</si>
  <si>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</si>
  <si>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</si>
  <si>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</si>
  <si>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</si>
  <si>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</si>
  <si>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</si>
  <si>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</si>
  <si>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</si>
  <si>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</si>
  <si>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</si>
  <si>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</si>
  <si>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</si>
  <si>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</si>
  <si>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</si>
  <si>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</si>
  <si>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</si>
  <si>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</si>
  <si>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</si>
  <si>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</si>
  <si>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</si>
  <si>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</si>
  <si>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</si>
  <si>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</si>
  <si>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</si>
  <si>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</si>
  <si>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</si>
  <si>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</si>
  <si>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</si>
  <si>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</si>
  <si>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</si>
  <si>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</si>
  <si>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</si>
  <si>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</si>
  <si>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</si>
  <si>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</si>
  <si>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</si>
  <si>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</si>
  <si>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</si>
  <si>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</si>
  <si>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</si>
  <si>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</si>
  <si>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</si>
  <si>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</si>
  <si>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</si>
  <si>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</si>
  <si>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</si>
  <si>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</si>
  <si>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</si>
  <si>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</si>
  <si>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</si>
  <si>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</si>
  <si>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</si>
  <si>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</si>
  <si>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</si>
  <si>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</si>
  <si>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</si>
  <si>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</si>
  <si>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</si>
  <si>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</si>
  <si>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</si>
  <si>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</si>
  <si>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</si>
  <si>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</si>
  <si>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</si>
  <si>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</si>
  <si>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</si>
  <si>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</si>
  <si>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</si>
  <si>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</si>
  <si>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</si>
  <si>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</si>
  <si>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</si>
  <si>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</si>
  <si>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</si>
  <si>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</si>
  <si>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</si>
  <si>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</si>
  <si>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</si>
  <si>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</si>
  <si>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</si>
  <si>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</si>
  <si>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</si>
  <si>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</si>
  <si>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</si>
  <si>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</si>
  <si>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</si>
  <si>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</si>
  <si>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</si>
  <si>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</si>
  <si>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</si>
  <si>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</si>
  <si>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</si>
  <si>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</si>
  <si>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</si>
  <si>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</si>
  <si>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</si>
  <si>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</si>
  <si>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</si>
  <si>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</si>
  <si>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</si>
  <si>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</si>
  <si>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</si>
  <si>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</si>
  <si>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</si>
  <si>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</si>
  <si>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</si>
  <si>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</si>
  <si>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</si>
  <si>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</si>
  <si>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</si>
  <si>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</si>
  <si>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</si>
  <si>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</si>
  <si>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</si>
  <si>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</si>
  <si>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</si>
  <si>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</si>
  <si>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</si>
  <si>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</si>
  <si>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</si>
  <si>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</si>
  <si>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</si>
  <si>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</si>
  <si>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</si>
  <si>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</si>
  <si>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</si>
  <si>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</si>
  <si>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</si>
  <si>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</si>
  <si>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</si>
  <si>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</si>
  <si>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</si>
  <si>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</si>
  <si>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</si>
  <si>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</si>
  <si>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</si>
  <si>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</si>
  <si>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</si>
  <si>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</si>
  <si>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</si>
  <si>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</si>
  <si>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</si>
  <si>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</si>
  <si>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</si>
  <si>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</si>
  <si>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</si>
  <si>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</si>
  <si>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</si>
  <si>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</si>
  <si>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</si>
  <si>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</si>
  <si>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</si>
  <si>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</si>
  <si>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</si>
  <si>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</si>
  <si>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</si>
  <si>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</si>
  <si>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</si>
  <si>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</si>
  <si>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</si>
  <si>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</si>
  <si>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</si>
  <si>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</si>
  <si>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</si>
  <si>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</si>
  <si>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</si>
  <si>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</si>
  <si>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</si>
  <si>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</si>
  <si>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</si>
  <si>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</si>
  <si>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</si>
  <si>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</si>
  <si>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</si>
  <si>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</si>
  <si>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</si>
  <si>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</si>
  <si>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</si>
  <si>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</si>
  <si>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</si>
  <si>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</si>
  <si>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</si>
  <si>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</si>
  <si>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</si>
  <si>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</si>
  <si>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</si>
  <si>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</si>
  <si>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</si>
  <si>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</si>
  <si>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</si>
  <si>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</si>
  <si>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</si>
  <si>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</si>
  <si>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</si>
  <si>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</si>
  <si>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</si>
  <si>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</si>
  <si>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</si>
  <si>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</si>
  <si>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</si>
  <si>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</si>
  <si>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</si>
  <si>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</si>
  <si>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</si>
  <si>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</si>
  <si>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</si>
  <si>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</si>
  <si>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</si>
  <si>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</si>
  <si>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</si>
  <si>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</si>
  <si>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</si>
  <si>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</si>
  <si>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</si>
  <si>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</si>
  <si>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</si>
  <si>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</si>
  <si>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</si>
  <si>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</si>
  <si>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</si>
  <si>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</si>
  <si>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</si>
  <si>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</si>
  <si>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</si>
  <si>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</si>
  <si>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</si>
  <si>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</si>
  <si>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</si>
  <si>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</si>
  <si>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</si>
  <si>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</si>
  <si>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</si>
  <si>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</si>
  <si>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</si>
  <si>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</si>
  <si>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</si>
  <si>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</si>
  <si>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</si>
  <si>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</si>
  <si>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</si>
  <si>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</si>
  <si>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</si>
  <si>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</si>
  <si>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</si>
  <si>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</si>
  <si>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</si>
  <si>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</si>
  <si>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</si>
  <si>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</si>
  <si>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</si>
  <si>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</si>
  <si>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</si>
  <si>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</si>
  <si>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</si>
  <si>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</si>
  <si>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</si>
  <si>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</si>
  <si>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</si>
  <si>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</si>
  <si>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</si>
  <si>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</si>
  <si>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</si>
  <si>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</si>
  <si>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</si>
  <si>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</si>
  <si>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</si>
  <si>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</si>
  <si>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</si>
  <si>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</si>
  <si>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</si>
  <si>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</si>
  <si>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</si>
  <si>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</si>
  <si>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</si>
  <si>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</si>
  <si>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</si>
  <si>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</si>
  <si>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</si>
  <si>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</si>
  <si>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</si>
  <si>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</si>
  <si>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</si>
  <si>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</si>
  <si>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</si>
  <si>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</si>
  <si>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</si>
  <si>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</si>
  <si>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</si>
  <si>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</si>
  <si>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</si>
  <si>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</si>
  <si>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</si>
  <si>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</si>
  <si>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</si>
  <si>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</si>
  <si>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</si>
  <si>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</si>
  <si>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</si>
  <si>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</si>
  <si>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</si>
  <si>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</si>
  <si>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</si>
  <si>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</si>
  <si>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</si>
  <si>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</si>
  <si>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</si>
  <si>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</si>
  <si>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</si>
  <si>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</si>
  <si>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</si>
  <si>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</si>
  <si>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</si>
  <si>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</si>
  <si>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</si>
  <si>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</si>
  <si>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</si>
  <si>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</si>
  <si>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</si>
  <si>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</si>
  <si>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</si>
  <si>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</si>
  <si>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</si>
  <si>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</si>
  <si>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</si>
  <si>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</si>
  <si>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</si>
  <si>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</si>
  <si>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</si>
  <si>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</si>
  <si>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</si>
  <si>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</si>
  <si>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</si>
  <si>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</si>
  <si>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</si>
  <si>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</si>
  <si>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</si>
  <si>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</si>
  <si>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</si>
  <si>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</si>
  <si>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</si>
  <si>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</si>
  <si>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</si>
  <si>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</si>
  <si>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</si>
  <si>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</si>
  <si>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</si>
  <si>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</si>
  <si>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</si>
  <si>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</si>
  <si>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</si>
  <si>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</si>
  <si>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</si>
  <si>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</si>
  <si>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</si>
  <si>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</si>
  <si>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</si>
  <si>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</si>
  <si>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</si>
  <si>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</si>
  <si>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</si>
  <si>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</si>
  <si>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</si>
  <si>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</si>
  <si>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</si>
  <si>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</si>
  <si>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</si>
  <si>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</si>
  <si>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</si>
  <si>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</si>
  <si>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</si>
  <si>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</si>
  <si>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</si>
  <si>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</si>
  <si>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</si>
  <si>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</si>
  <si>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</si>
  <si>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</si>
  <si>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</si>
  <si>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</si>
  <si>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</si>
  <si>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</si>
  <si>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</si>
  <si>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</si>
  <si>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</si>
  <si>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</si>
  <si>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</si>
  <si>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</si>
  <si>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</si>
  <si>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</si>
  <si>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</si>
  <si>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</si>
  <si>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</si>
  <si>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</si>
  <si>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</si>
  <si>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</si>
  <si>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</si>
  <si>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</si>
  <si>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</si>
  <si>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</si>
  <si>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</si>
  <si>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</si>
  <si>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</si>
  <si>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</si>
  <si>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</si>
  <si>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</si>
  <si>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</si>
  <si>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</si>
  <si>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</si>
  <si>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</si>
  <si>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</si>
  <si>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</si>
  <si>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</si>
  <si>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</si>
  <si>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</si>
  <si>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</si>
  <si>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</si>
  <si>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</si>
  <si>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</si>
  <si>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</si>
  <si>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</si>
  <si>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</si>
  <si>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</si>
  <si>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</si>
  <si>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</si>
  <si>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</si>
  <si>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</si>
  <si>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</si>
  <si>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</si>
  <si>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</si>
  <si>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</si>
  <si>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</si>
  <si>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</si>
  <si>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</si>
  <si>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</si>
  <si>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</si>
  <si>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</si>
  <si>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</si>
  <si>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</si>
  <si>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</si>
  <si>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</si>
  <si>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</si>
  <si>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</si>
  <si>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</si>
  <si>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</si>
  <si>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</si>
  <si>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</si>
  <si>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</si>
  <si>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</si>
  <si>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</si>
  <si>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</si>
  <si>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</si>
  <si>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</si>
  <si>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</si>
  <si>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</si>
  <si>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</si>
  <si>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</si>
  <si>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</si>
  <si>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</si>
  <si>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</si>
  <si>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</si>
  <si>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</si>
  <si>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</si>
  <si>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</si>
  <si>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</si>
  <si>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</si>
  <si>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</si>
  <si>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</si>
  <si>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</si>
  <si>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</si>
  <si>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</si>
  <si>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</si>
  <si>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</si>
  <si>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</si>
  <si>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</si>
  <si>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</si>
  <si>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</si>
  <si>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</si>
  <si>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</si>
  <si>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</si>
  <si>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</si>
  <si>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</si>
  <si>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</si>
  <si>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</si>
  <si>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</si>
  <si>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</si>
  <si>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</si>
  <si>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</si>
  <si>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</si>
  <si>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</si>
  <si>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</si>
  <si>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</si>
  <si>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</si>
  <si>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</si>
  <si>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</si>
  <si>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</si>
  <si>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</si>
  <si>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</si>
  <si>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</si>
  <si>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</si>
  <si>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</si>
  <si>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</si>
  <si>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</si>
  <si>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</si>
  <si>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</si>
  <si>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</si>
  <si>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</si>
  <si>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</si>
  <si>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</si>
  <si>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</si>
  <si>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</si>
  <si>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</si>
  <si>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</si>
  <si>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</si>
  <si>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</si>
  <si>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</si>
  <si>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</si>
  <si>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</si>
  <si>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</si>
  <si>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</si>
  <si>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</si>
  <si>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</si>
  <si>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</si>
  <si>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</si>
  <si>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</si>
  <si>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</si>
  <si>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</si>
  <si>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</si>
  <si>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</si>
  <si>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</si>
  <si>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</si>
  <si>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</si>
  <si>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</si>
  <si>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</si>
  <si>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</si>
  <si>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</si>
  <si>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</si>
  <si>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</si>
  <si>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</si>
  <si>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</si>
  <si>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</si>
  <si>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</si>
  <si>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</si>
  <si>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</si>
  <si>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</si>
  <si>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</si>
  <si>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</si>
  <si>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</si>
  <si>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</si>
  <si>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 xml:space="preserve"> Revenue</t>
  </si>
  <si>
    <t>Month</t>
  </si>
  <si>
    <t>Quarter</t>
  </si>
  <si>
    <t>Order_Category</t>
  </si>
  <si>
    <t>Shipping_Status</t>
  </si>
  <si>
    <t>Total_Price</t>
  </si>
  <si>
    <t>Referral_Source</t>
  </si>
  <si>
    <t>Coupon_Code</t>
  </si>
  <si>
    <t>Items_In_Cart</t>
  </si>
  <si>
    <t>Tracking_Number</t>
  </si>
  <si>
    <t>Order_Status</t>
  </si>
  <si>
    <t>Payment_Method</t>
  </si>
  <si>
    <t>Shipping_Address</t>
  </si>
  <si>
    <t>Unit_Price</t>
  </si>
  <si>
    <t>Customer_ID</t>
  </si>
  <si>
    <t>Order_ID</t>
  </si>
  <si>
    <t>Discount_Used</t>
  </si>
  <si>
    <t>Grand Total</t>
  </si>
  <si>
    <t>Sum of  Revenue</t>
  </si>
  <si>
    <t>Sales by Product</t>
  </si>
  <si>
    <t>Payment Method Performance</t>
  </si>
  <si>
    <t>Count of Order_ID</t>
  </si>
  <si>
    <t>Order_Status Summary</t>
  </si>
  <si>
    <t xml:space="preserve"> Referral Source Performance</t>
  </si>
  <si>
    <t>Monthly Revenue Trend</t>
  </si>
  <si>
    <t>Jan</t>
  </si>
  <si>
    <t>Feb</t>
  </si>
  <si>
    <t>Mar</t>
  </si>
  <si>
    <t>Apr</t>
  </si>
  <si>
    <t>May</t>
  </si>
  <si>
    <t>Jun</t>
  </si>
  <si>
    <t>Jul</t>
  </si>
  <si>
    <t>Aug</t>
  </si>
  <si>
    <t>Sep</t>
  </si>
  <si>
    <t>Oct</t>
  </si>
  <si>
    <t>Nov</t>
  </si>
  <si>
    <t>Dec</t>
  </si>
  <si>
    <t>Average Order Value</t>
  </si>
  <si>
    <t>Total Orders</t>
  </si>
  <si>
    <t>Total Revenue</t>
  </si>
  <si>
    <t>Max</t>
  </si>
  <si>
    <t>Min</t>
  </si>
  <si>
    <t>Median</t>
  </si>
  <si>
    <t>Mean</t>
  </si>
  <si>
    <t>Count</t>
  </si>
  <si>
    <t>Metrics</t>
  </si>
  <si>
    <t>None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</si>
</sst>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quot;$&quot;#,##0"/>
    <numFmt numFmtId="166" formatCode="0.000000"/>
  </numFmts>
  <fonts count="4" x14ac:knownFonts="1">
    <font>
      <sz val="11"/>
      <color theme="1"/>
      <name val="Calibri"/>
      <family val="2"/>
      <scheme val="minor"/>
    </font>
    <font>
      <b/>
      <sz val="11"/>
      <color theme="1"/>
      <name val="Calibri"/>
      <family val="2"/>
      <scheme val="minor"/>
    </font>
    <font>
      <b/>
      <sz val="11"/>
      <color theme="1"/>
      <name val="Calibri"/>
      <family val="2"/>
      <scheme val="minor"/>
    </font>
    <font>
      <b/>
      <sz val="11"/>
      <color theme="1"/>
      <name val="Calibri"/>
      <scheme val="minor"/>
    </font>
  </fonts>
  <fills count="3">
    <fill>
      <patternFill patternType="none"/>
    </fill>
    <fill>
      <patternFill patternType="gray125"/>
    </fill>
    <fill>
      <patternFill patternType="solid">
        <fgColor theme="7"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applyNumberFormat="1"/>
    <xf numFmtId="0" fontId="3" fillId="0" borderId="2" xfId="0" applyFont="1" applyBorder="1" applyAlignment="1">
      <alignment horizontal="center" vertical="top"/>
    </xf>
  </cellXfs>
  <cellStyles count="1">
    <cellStyle name="Normal" xfId="0" builtinId="0"/>
  </cellStyles>
  <dxfs count="19">
    <dxf>
      <numFmt numFmtId="0" formatCode="General"/>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[Emmanuel_Alaezi_Ecommerce_Dashboard.xlsx]Pivot_Table!PivotTable1</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1.8221788725390185E-2"/>
              <c:y val="-1.156663820034624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4">
              <a:lumMod val="75000"/>
            </a:schemeClr>
          </a:solidFill>
          <a:ln>
            <a:noFill/>
          </a:ln>
          <a:effectLst/>
        </c:spPr>
        <c:dLbl>
          <c:idx val="0"/>
          <c:layout>
            <c:manualLayout>
              <c:x val="-1.8221788725390185E-2"/>
              <c:y val="-1.156663820034624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lumMod val="75000"/>
            </a:schemeClr>
          </a:solidFill>
          <a:ln>
            <a:noFill/>
          </a:ln>
          <a:effectLst/>
        </c:spPr>
        <c:dLbl>
          <c:idx val="0"/>
          <c:layout>
            <c:manualLayout>
              <c:x val="-1.457743098031228E-2"/>
              <c:y val="-6.309148264984226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4">
              <a:lumMod val="75000"/>
            </a:schemeClr>
          </a:solidFill>
          <a:ln>
            <a:noFill/>
          </a:ln>
          <a:effectLst/>
        </c:spPr>
        <c:dLbl>
          <c:idx val="0"/>
          <c:layout>
            <c:manualLayout>
              <c:x val="-1.822178872539031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4">
              <a:lumMod val="75000"/>
            </a:schemeClr>
          </a:solidFill>
          <a:ln>
            <a:noFill/>
          </a:ln>
          <a:effectLst/>
        </c:spPr>
        <c:dLbl>
          <c:idx val="0"/>
          <c:layout>
            <c:manualLayout>
              <c:x val="-1.457743098031228E-2"/>
              <c:y val="-5.783319100173119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4">
              <a:lumMod val="75000"/>
            </a:schemeClr>
          </a:solidFill>
          <a:ln>
            <a:noFill/>
          </a:ln>
          <a:effectLst/>
        </c:spPr>
        <c:dLbl>
          <c:idx val="0"/>
          <c:layout>
            <c:manualLayout>
              <c:x val="-2.1866146470468219E-2"/>
              <c:y val="-6.309148264984226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4">
              <a:lumMod val="75000"/>
            </a:schemeClr>
          </a:solidFill>
          <a:ln>
            <a:noFill/>
          </a:ln>
          <a:effectLst/>
        </c:spPr>
        <c:dLbl>
          <c:idx val="0"/>
          <c:layout>
            <c:manualLayout>
              <c:x val="-1.822178872539018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dPt>
          <c:dPt>
            <c:idx val="1"/>
            <c:invertIfNegative val="0"/>
            <c:bubble3D val="0"/>
            <c:spPr>
              <a:solidFill>
                <a:schemeClr val="accent4">
                  <a:lumMod val="75000"/>
                </a:schemeClr>
              </a:solidFill>
              <a:ln>
                <a:noFill/>
              </a:ln>
              <a:effectLst/>
            </c:spPr>
          </c:dPt>
          <c:dPt>
            <c:idx val="2"/>
            <c:invertIfNegative val="0"/>
            <c:bubble3D val="0"/>
            <c:spPr>
              <a:solidFill>
                <a:schemeClr val="accent4">
                  <a:lumMod val="75000"/>
                </a:schemeClr>
              </a:solidFill>
              <a:ln>
                <a:noFill/>
              </a:ln>
              <a:effectLst/>
            </c:spPr>
          </c:dPt>
          <c:dPt>
            <c:idx val="3"/>
            <c:invertIfNegative val="0"/>
            <c:bubble3D val="0"/>
            <c:spPr>
              <a:solidFill>
                <a:schemeClr val="accent4">
                  <a:lumMod val="75000"/>
                </a:schemeClr>
              </a:solidFill>
              <a:ln>
                <a:noFill/>
              </a:ln>
              <a:effectLst/>
            </c:spPr>
          </c:dPt>
          <c:dPt>
            <c:idx val="4"/>
            <c:invertIfNegative val="0"/>
            <c:bubble3D val="0"/>
            <c:spPr>
              <a:solidFill>
                <a:schemeClr val="accent4">
                  <a:lumMod val="75000"/>
                </a:schemeClr>
              </a:solidFill>
              <a:ln>
                <a:noFill/>
              </a:ln>
              <a:effectLst/>
            </c:spPr>
          </c:dPt>
          <c:dPt>
            <c:idx val="5"/>
            <c:invertIfNegative val="0"/>
            <c:bubble3D val="0"/>
            <c:spPr>
              <a:solidFill>
                <a:schemeClr val="accent4">
                  <a:lumMod val="75000"/>
                </a:schemeClr>
              </a:solidFill>
              <a:ln>
                <a:noFill/>
              </a:ln>
              <a:effectLst/>
            </c:spPr>
          </c:dPt>
          <c:dPt>
            <c:idx val="6"/>
            <c:invertIfNegative val="0"/>
            <c:bubble3D val="0"/>
            <c:spPr>
              <a:solidFill>
                <a:schemeClr val="accent4">
                  <a:lumMod val="75000"/>
                </a:schemeClr>
              </a:solidFill>
              <a:ln>
                <a:noFill/>
              </a:ln>
              <a:effectLst/>
            </c:spPr>
          </c:dPt>
          <c:dLbls>
            <c:dLbl>
              <c:idx val="0"/>
              <c:layout>
                <c:manualLayout>
                  <c:x val="-1.8221788725390185E-2"/>
                  <c:y val="-1.156663820034624E-1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8221788725390185E-2"/>
                  <c:y val="-1.156663820034624E-1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457743098031228E-2"/>
                  <c:y val="-6.3091482649842269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8221788725390316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457743098031228E-2"/>
                  <c:y val="-5.7833191001731199E-17"/>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2.1866146470468219E-2"/>
                  <c:y val="-6.3091482649842269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8221788725390185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Pivot_Table!$A$4:$A$11</c:f>
              <c:strCache>
                <c:ptCount val="7"/>
                <c:pt idx="0">
                  <c:v>Chair</c:v>
                </c:pt>
                <c:pt idx="1">
                  <c:v>Desk</c:v>
                </c:pt>
                <c:pt idx="2">
                  <c:v>Laptop</c:v>
                </c:pt>
                <c:pt idx="3">
                  <c:v>Monitor</c:v>
                </c:pt>
                <c:pt idx="4">
                  <c:v>Phone</c:v>
                </c:pt>
                <c:pt idx="5">
                  <c:v>Printer</c:v>
                </c:pt>
                <c:pt idx="6">
                  <c:v>Tablet</c:v>
                </c:pt>
              </c:strCache>
            </c:strRef>
          </c:cat>
          <c:val>
            <c:numRef>
              <c:f>Pivot_Table!$B$4:$B$11</c:f>
              <c:numCache>
                <c:formatCode>"$"#,##0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ser>
        <c:dLbls>
          <c:dLblPos val="outEnd"/>
          <c:showLegendKey val="0"/>
          <c:showVal val="1"/>
          <c:showCatName val="0"/>
          <c:showSerName val="0"/>
          <c:showPercent val="0"/>
          <c:showBubbleSize val="0"/>
        </c:dLbls>
        <c:gapWidth val="182"/>
        <c:axId val="295725048"/>
        <c:axId val="295725440"/>
      </c:barChart>
      <c:catAx>
        <c:axId val="295725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95725440"/>
        <c:crosses val="autoZero"/>
        <c:auto val="1"/>
        <c:lblAlgn val="ctr"/>
        <c:lblOffset val="100"/>
        <c:noMultiLvlLbl val="0"/>
      </c:catAx>
      <c:valAx>
        <c:axId val="295725440"/>
        <c:scaling>
          <c:orientation val="minMax"/>
        </c:scaling>
        <c:delete val="1"/>
        <c:axPos val="b"/>
        <c:numFmt formatCode="&quot;$&quot;#,##0" sourceLinked="1"/>
        <c:majorTickMark val="none"/>
        <c:minorTickMark val="none"/>
        <c:tickLblPos val="nextTo"/>
        <c:crossAx val="295725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[Emmanuel_Alaezi_Ecommerce_Dashboard.xlsx]Pivot_Table!PivotTable2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5">
              <a:lumMod val="40000"/>
              <a:lumOff val="60000"/>
            </a:schemeClr>
          </a:solidFill>
          <a:ln w="19050">
            <a:solidFill>
              <a:schemeClr val="lt1"/>
            </a:solidFill>
          </a:ln>
          <a:effectLst/>
        </c:spPr>
      </c:pivotFmt>
      <c:pivotFmt>
        <c:idx val="9"/>
        <c:spPr>
          <a:solidFill>
            <a:schemeClr val="accent5">
              <a:lumMod val="75000"/>
            </a:schemeClr>
          </a:solidFill>
          <a:ln w="19050">
            <a:solidFill>
              <a:schemeClr val="lt1"/>
            </a:solidFill>
          </a:ln>
          <a:effectLst/>
        </c:spPr>
      </c:pivotFmt>
      <c:pivotFmt>
        <c:idx val="10"/>
        <c:spPr>
          <a:solidFill>
            <a:schemeClr val="tx2">
              <a:lumMod val="40000"/>
              <a:lumOff val="60000"/>
            </a:schemeClr>
          </a:solidFill>
          <a:ln w="19050">
            <a:solidFill>
              <a:schemeClr val="lt1"/>
            </a:solidFill>
          </a:ln>
          <a:effectLst/>
        </c:spPr>
      </c:pivotFmt>
      <c:pivotFmt>
        <c:idx val="11"/>
        <c:spPr>
          <a:solidFill>
            <a:srgbClr val="7030A0"/>
          </a:solidFill>
          <a:ln w="19050">
            <a:solidFill>
              <a:schemeClr val="lt1"/>
            </a:solidFill>
          </a:ln>
          <a:effectLst/>
        </c:spPr>
      </c:pivotFmt>
      <c:pivotFmt>
        <c:idx val="12"/>
        <c:spPr>
          <a:solidFill>
            <a:schemeClr val="accent4">
              <a:lumMod val="60000"/>
              <a:lumOff val="40000"/>
            </a:schemeClr>
          </a:solidFill>
          <a:ln w="19050">
            <a:solidFill>
              <a:schemeClr val="lt1"/>
            </a:solidFill>
          </a:ln>
          <a:effectLst/>
        </c:spPr>
      </c:pivotFmt>
    </c:pivotFmts>
    <c:plotArea>
      <c:layout/>
      <c:pieChart>
        <c:varyColors val="1"/>
        <c:ser>
          <c:idx val="0"/>
          <c:order val="0"/>
          <c:tx>
            <c:strRef>
              <c:f>Pivot_Table!$E$3</c:f>
              <c:strCache>
                <c:ptCount val="1"/>
                <c:pt idx="0">
                  <c:v>Total</c:v>
                </c:pt>
              </c:strCache>
            </c:strRef>
          </c:tx>
          <c:dPt>
            <c:idx val="0"/>
            <c:bubble3D val="0"/>
            <c:spPr>
              <a:solidFill>
                <a:schemeClr val="accent5">
                  <a:lumMod val="40000"/>
                  <a:lumOff val="60000"/>
                </a:schemeClr>
              </a:solidFill>
              <a:ln w="19050">
                <a:solidFill>
                  <a:schemeClr val="lt1"/>
                </a:solidFill>
              </a:ln>
              <a:effectLst/>
            </c:spPr>
          </c:dPt>
          <c:dPt>
            <c:idx val="1"/>
            <c:bubble3D val="0"/>
            <c:spPr>
              <a:solidFill>
                <a:schemeClr val="accent5">
                  <a:lumMod val="75000"/>
                </a:schemeClr>
              </a:solidFill>
              <a:ln w="19050">
                <a:solidFill>
                  <a:schemeClr val="lt1"/>
                </a:solidFill>
              </a:ln>
              <a:effectLst/>
            </c:spPr>
          </c:dPt>
          <c:dPt>
            <c:idx val="2"/>
            <c:bubble3D val="0"/>
            <c:spPr>
              <a:solidFill>
                <a:schemeClr val="tx2">
                  <a:lumMod val="40000"/>
                  <a:lumOff val="60000"/>
                </a:schemeClr>
              </a:solidFill>
              <a:ln w="19050">
                <a:solidFill>
                  <a:schemeClr val="lt1"/>
                </a:solidFill>
              </a:ln>
              <a:effectLst/>
            </c:spPr>
          </c:dPt>
          <c:dPt>
            <c:idx val="3"/>
            <c:bubble3D val="0"/>
            <c:spPr>
              <a:solidFill>
                <a:srgbClr val="7030A0"/>
              </a:solidFill>
              <a:ln w="19050">
                <a:solidFill>
                  <a:schemeClr val="lt1"/>
                </a:solidFill>
              </a:ln>
              <a:effectLst/>
            </c:spPr>
          </c:dPt>
          <c:dPt>
            <c:idx val="4"/>
            <c:bubble3D val="0"/>
            <c:spPr>
              <a:solidFill>
                <a:schemeClr val="accent4">
                  <a:lumMod val="60000"/>
                  <a:lumOff val="4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Pivot_Table!$D$4:$D$9</c:f>
              <c:strCache>
                <c:ptCount val="5"/>
                <c:pt idx="0">
                  <c:v>Cash</c:v>
                </c:pt>
                <c:pt idx="1">
                  <c:v>Credit Card</c:v>
                </c:pt>
                <c:pt idx="2">
                  <c:v>Debit Card</c:v>
                </c:pt>
                <c:pt idx="3">
                  <c:v>Gift Card</c:v>
                </c:pt>
                <c:pt idx="4">
                  <c:v>Online</c:v>
                </c:pt>
              </c:strCache>
            </c:strRef>
          </c:cat>
          <c:val>
            <c:numRef>
              <c:f>Pivot_Table!$E$4:$E$9</c:f>
              <c:numCache>
                <c:formatCode>General</c:formatCode>
                <c:ptCount val="5"/>
                <c:pt idx="0">
                  <c:v>246</c:v>
                </c:pt>
                <c:pt idx="1">
                  <c:v>234</c:v>
                </c:pt>
                <c:pt idx="2">
                  <c:v>232</c:v>
                </c:pt>
                <c:pt idx="3">
                  <c:v>230</c:v>
                </c:pt>
                <c:pt idx="4">
                  <c:v>258</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[Emmanuel_Alaezi_Ecommerce_Dashboard.xlsx]Pivot_Table!PivotTable3</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dLbl>
          <c:idx val="0"/>
          <c:layout>
            <c:manualLayout>
              <c:x val="-7.7505659416736702E-17"/>
              <c:y val="-1.284200041964017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00B0F0"/>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3502760333098826"/>
          <c:y val="6.8821376805823231E-2"/>
          <c:w val="0.53103840850283801"/>
          <c:h val="0.79914347833012123"/>
        </c:manualLayout>
      </c:layout>
      <c:doughnutChart>
        <c:varyColors val="1"/>
        <c:ser>
          <c:idx val="0"/>
          <c:order val="0"/>
          <c:tx>
            <c:strRef>
              <c:f>Pivot_Table!$H$3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1">
                  <a:lumMod val="40000"/>
                  <a:lumOff val="60000"/>
                </a:schemeClr>
              </a:solidFill>
              <a:ln w="19050">
                <a:solidFill>
                  <a:schemeClr val="lt1"/>
                </a:solidFill>
              </a:ln>
              <a:effectLst/>
            </c:spPr>
          </c:dPt>
          <c:dPt>
            <c:idx val="2"/>
            <c:bubble3D val="0"/>
            <c:spPr>
              <a:solidFill>
                <a:srgbClr val="00B0F0"/>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dLbl>
              <c:idx val="1"/>
              <c:layout>
                <c:manualLayout>
                  <c:x val="-7.7505659416736702E-17"/>
                  <c:y val="-1.2842000419640171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Pivot_Table!$G$4:$G$9</c:f>
              <c:strCache>
                <c:ptCount val="5"/>
                <c:pt idx="0">
                  <c:v>Cancelled</c:v>
                </c:pt>
                <c:pt idx="1">
                  <c:v>Delivered</c:v>
                </c:pt>
                <c:pt idx="2">
                  <c:v>Pending</c:v>
                </c:pt>
                <c:pt idx="3">
                  <c:v>Returned</c:v>
                </c:pt>
                <c:pt idx="4">
                  <c:v>Shipped</c:v>
                </c:pt>
              </c:strCache>
            </c:strRef>
          </c:cat>
          <c:val>
            <c:numRef>
              <c:f>Pivot_Table!$H$4:$H$9</c:f>
              <c:numCache>
                <c:formatCode>General</c:formatCode>
                <c:ptCount val="5"/>
                <c:pt idx="0">
                  <c:v>250</c:v>
                </c:pt>
                <c:pt idx="1">
                  <c:v>231</c:v>
                </c:pt>
                <c:pt idx="2">
                  <c:v>237</c:v>
                </c:pt>
                <c:pt idx="3">
                  <c:v>247</c:v>
                </c:pt>
                <c:pt idx="4">
                  <c:v>235</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[Emmanuel_Alaezi_Ecommerce_Dashboard.xlsx]Pivot_Table!PivotTable4</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4.392764321622303E-3"/>
              <c:y val="-0.40181899991312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4">
              <a:lumMod val="75000"/>
            </a:schemeClr>
          </a:solidFill>
          <a:ln>
            <a:noFill/>
          </a:ln>
          <a:effectLst/>
        </c:spPr>
        <c:dLbl>
          <c:idx val="0"/>
          <c:layout>
            <c:manualLayout>
              <c:x val="4.3927643216222527E-3"/>
              <c:y val="-0.382057409753459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lumMod val="75000"/>
            </a:schemeClr>
          </a:solidFill>
          <a:ln>
            <a:noFill/>
          </a:ln>
          <a:effectLst/>
        </c:spPr>
        <c:dLbl>
          <c:idx val="0"/>
          <c:layout>
            <c:manualLayout>
              <c:x val="-8.0533082238037202E-17"/>
              <c:y val="-0.388644606473347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4">
              <a:lumMod val="75000"/>
            </a:schemeClr>
          </a:solidFill>
          <a:ln>
            <a:noFill/>
          </a:ln>
          <a:effectLst/>
        </c:spPr>
        <c:dLbl>
          <c:idx val="0"/>
          <c:layout>
            <c:manualLayout>
              <c:x val="-8.0533082238037202E-17"/>
              <c:y val="-0.421580590072783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4">
              <a:lumMod val="75000"/>
            </a:schemeClr>
          </a:solidFill>
          <a:ln>
            <a:noFill/>
          </a:ln>
          <a:effectLst/>
        </c:spPr>
        <c:dLbl>
          <c:idx val="0"/>
          <c:layout>
            <c:manualLayout>
              <c:x val="-1.610661644760744E-16"/>
              <c:y val="-0.34912142615402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Pivot_Table!$B$14</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dPt>
          <c:dPt>
            <c:idx val="1"/>
            <c:invertIfNegative val="0"/>
            <c:bubble3D val="0"/>
            <c:spPr>
              <a:solidFill>
                <a:schemeClr val="accent4">
                  <a:lumMod val="75000"/>
                </a:schemeClr>
              </a:solidFill>
              <a:ln>
                <a:noFill/>
              </a:ln>
              <a:effectLst/>
            </c:spPr>
          </c:dPt>
          <c:dPt>
            <c:idx val="2"/>
            <c:invertIfNegative val="0"/>
            <c:bubble3D val="0"/>
            <c:spPr>
              <a:solidFill>
                <a:schemeClr val="accent4">
                  <a:lumMod val="75000"/>
                </a:schemeClr>
              </a:solidFill>
              <a:ln>
                <a:noFill/>
              </a:ln>
              <a:effectLst/>
            </c:spPr>
          </c:dPt>
          <c:dPt>
            <c:idx val="3"/>
            <c:invertIfNegative val="0"/>
            <c:bubble3D val="0"/>
            <c:spPr>
              <a:solidFill>
                <a:schemeClr val="accent4">
                  <a:lumMod val="75000"/>
                </a:schemeClr>
              </a:solidFill>
              <a:ln>
                <a:noFill/>
              </a:ln>
              <a:effectLst/>
            </c:spPr>
          </c:dPt>
          <c:dPt>
            <c:idx val="4"/>
            <c:invertIfNegative val="0"/>
            <c:bubble3D val="0"/>
            <c:spPr>
              <a:solidFill>
                <a:schemeClr val="accent4">
                  <a:lumMod val="75000"/>
                </a:schemeClr>
              </a:solidFill>
              <a:ln>
                <a:noFill/>
              </a:ln>
              <a:effectLst/>
            </c:spPr>
          </c:dPt>
          <c:dLbls>
            <c:dLbl>
              <c:idx val="0"/>
              <c:layout>
                <c:manualLayout>
                  <c:x val="-4.392764321622303E-3"/>
                  <c:y val="-0.40181899991312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4.3927643216222527E-3"/>
                  <c:y val="-0.3820574097534599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8.0533082238037202E-17"/>
                  <c:y val="-0.38864460647334714"/>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8.0533082238037202E-17"/>
                  <c:y val="-0.4215805900727834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610661644760744E-16"/>
                  <c:y val="-0.349121426154023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Pivot_Table!$A$15:$A$20</c:f>
              <c:strCache>
                <c:ptCount val="5"/>
                <c:pt idx="0">
                  <c:v>Email</c:v>
                </c:pt>
                <c:pt idx="1">
                  <c:v>Facebook</c:v>
                </c:pt>
                <c:pt idx="2">
                  <c:v>Google</c:v>
                </c:pt>
                <c:pt idx="3">
                  <c:v>Instagram</c:v>
                </c:pt>
                <c:pt idx="4">
                  <c:v>Referral</c:v>
                </c:pt>
              </c:strCache>
            </c:strRef>
          </c:cat>
          <c:val>
            <c:numRef>
              <c:f>Pivot_Table!$B$15:$B$20</c:f>
              <c:numCache>
                <c:formatCode>"$"#,##0</c:formatCode>
                <c:ptCount val="5"/>
                <c:pt idx="0">
                  <c:v>261808.55000000002</c:v>
                </c:pt>
                <c:pt idx="1">
                  <c:v>250410.9</c:v>
                </c:pt>
                <c:pt idx="2">
                  <c:v>250441.47999999998</c:v>
                </c:pt>
                <c:pt idx="3">
                  <c:v>275285.45000000007</c:v>
                </c:pt>
                <c:pt idx="4">
                  <c:v>226815.5799999999</c:v>
                </c:pt>
              </c:numCache>
            </c:numRef>
          </c:val>
        </c:ser>
        <c:dLbls>
          <c:dLblPos val="ctr"/>
          <c:showLegendKey val="0"/>
          <c:showVal val="1"/>
          <c:showCatName val="0"/>
          <c:showSerName val="0"/>
          <c:showPercent val="0"/>
          <c:showBubbleSize val="0"/>
        </c:dLbls>
        <c:gapWidth val="150"/>
        <c:overlap val="100"/>
        <c:axId val="295719952"/>
        <c:axId val="295726616"/>
      </c:barChart>
      <c:catAx>
        <c:axId val="29571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95726616"/>
        <c:crosses val="autoZero"/>
        <c:auto val="1"/>
        <c:lblAlgn val="ctr"/>
        <c:lblOffset val="100"/>
        <c:noMultiLvlLbl val="0"/>
      </c:catAx>
      <c:valAx>
        <c:axId val="295726616"/>
        <c:scaling>
          <c:orientation val="minMax"/>
        </c:scaling>
        <c:delete val="1"/>
        <c:axPos val="l"/>
        <c:numFmt formatCode="&quot;$&quot;#,##0" sourceLinked="1"/>
        <c:majorTickMark val="none"/>
        <c:minorTickMark val="none"/>
        <c:tickLblPos val="nextTo"/>
        <c:crossAx val="29571995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[Emmanuel_Alaezi_Ecommerce_Dashboard.xlsx]Pivot_Table!PivotTable5</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8.2338423458346896E-2"/>
              <c:y val="2.917621960088937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8.6145973680533949E-2"/>
              <c:y val="3.504073994546457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8.6145973680533949E-2"/>
              <c:y val="-4.119802453401311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0.10518372479146917"/>
              <c:y val="-4.706254487858826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8.2338423458346896E-2"/>
              <c:y val="-4.119802453401306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7.9482760791706686E-2"/>
              <c:y val="-4.119802453401306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8.7097861236080709E-2"/>
              <c:y val="3.504073994546457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7.5675210569519577E-2"/>
              <c:y val="2.9176219600889376E-2"/>
            </c:manualLayout>
          </c:layout>
          <c:spPr>
            <a:noFill/>
            <a:ln w="25400" cap="flat" cmpd="sng" algn="ctr">
              <a:no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7.1867660347332663E-2"/>
              <c:y val="3.504073994546457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1.4942685875907441E-2"/>
              <c:y val="-4.119802453401306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7.1867660347332524E-2"/>
              <c:y val="-3.533350418943786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Lbl>
          <c:idx val="0"/>
          <c:layout>
            <c:manualLayout>
              <c:x val="-8.6145973680533949E-2"/>
              <c:y val="-4.119802453401306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555555555555555E-2"/>
          <c:y val="0.37563115632287031"/>
          <c:w val="0.93888888888888888"/>
          <c:h val="0.51696939308897727"/>
        </c:manualLayout>
      </c:layout>
      <c:lineChart>
        <c:grouping val="stacked"/>
        <c:varyColors val="0"/>
        <c:ser>
          <c:idx val="0"/>
          <c:order val="0"/>
          <c:tx>
            <c:strRef>
              <c:f>Pivot_Table!$E$12</c:f>
              <c:strCache>
                <c:ptCount val="1"/>
                <c:pt idx="0">
                  <c:v>Total</c:v>
                </c:pt>
              </c:strCache>
            </c:strRef>
          </c:tx>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dPt>
            <c:idx val="0"/>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1"/>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2"/>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3"/>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4"/>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5"/>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6"/>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7"/>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8"/>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9"/>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10"/>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Pt>
            <c:idx val="11"/>
            <c:marker>
              <c:symbol val="circle"/>
              <c:size val="5"/>
              <c:spPr>
                <a:solidFill>
                  <a:schemeClr val="accent4">
                    <a:lumMod val="75000"/>
                  </a:schemeClr>
                </a:solidFill>
                <a:ln w="9525">
                  <a:solidFill>
                    <a:schemeClr val="accent4">
                      <a:lumMod val="75000"/>
                    </a:schemeClr>
                  </a:solidFill>
                </a:ln>
                <a:effectLst/>
              </c:spPr>
            </c:marker>
            <c:bubble3D val="0"/>
            <c:spPr>
              <a:ln w="28575" cap="rnd">
                <a:solidFill>
                  <a:schemeClr val="accent4">
                    <a:lumMod val="75000"/>
                  </a:schemeClr>
                </a:solidFill>
                <a:round/>
              </a:ln>
              <a:effectLst/>
            </c:spPr>
          </c:dPt>
          <c:dLbls>
            <c:dLbl>
              <c:idx val="0"/>
              <c:layout>
                <c:manualLayout>
                  <c:x val="-8.6145973680533949E-2"/>
                  <c:y val="-4.119802453401306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8.2338423458346896E-2"/>
                  <c:y val="2.917621960088937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8.6145973680533949E-2"/>
                  <c:y val="-4.119802453401311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8.6145973680533949E-2"/>
                  <c:y val="3.504073994546457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10518372479146917"/>
                  <c:y val="-4.706254487858826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8.2338423458346896E-2"/>
                  <c:y val="-4.119802453401306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8.7097861236080709E-2"/>
                  <c:y val="3.504073994546457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7.9482760791706686E-2"/>
                  <c:y val="-4.119802453401306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7.5675210569519577E-2"/>
                  <c:y val="2.9176219600889376E-2"/>
                </c:manualLayout>
              </c:layout>
              <c:spPr>
                <a:noFill/>
                <a:ln w="25400" cap="flat" cmpd="sng" algn="ctr">
                  <a:no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7.1867660347332524E-2"/>
                  <c:y val="-3.533350418943786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7.1867660347332663E-2"/>
                  <c:y val="3.504073994546457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1.4942685875907441E-2"/>
                  <c:y val="-4.119802453401306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Pivot_Table!$D$13:$D$25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Pivot_Table!$E$13:$E$25</c:f>
              <c:numCache>
                <c:formatCode>"$"#,##0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82540.500000000015</c:v>
                </c:pt>
              </c:numCache>
            </c:numRef>
          </c:val>
          <c:smooth val="0"/>
        </c:ser>
        <c:dLbls>
          <c:dLblPos val="t"/>
          <c:showLegendKey val="0"/>
          <c:showVal val="1"/>
          <c:showCatName val="0"/>
          <c:showSerName val="0"/>
          <c:showPercent val="0"/>
          <c:showBubbleSize val="0"/>
        </c:dLbls>
        <c:marker val="1"/>
        <c:smooth val="0"/>
        <c:axId val="297921296"/>
        <c:axId val="297918944"/>
      </c:lineChart>
      <c:catAx>
        <c:axId val="29792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97918944"/>
        <c:crosses val="autoZero"/>
        <c:auto val="1"/>
        <c:lblAlgn val="ctr"/>
        <c:lblOffset val="100"/>
        <c:noMultiLvlLbl val="0"/>
      </c:catAx>
      <c:valAx>
        <c:axId val="297918944"/>
        <c:scaling>
          <c:orientation val="minMax"/>
        </c:scaling>
        <c:delete val="1"/>
        <c:axPos val="l"/>
        <c:numFmt formatCode="&quot;$&quot;#,##0" sourceLinked="1"/>
        <c:majorTickMark val="none"/>
        <c:minorTickMark val="none"/>
        <c:tickLblPos val="nextTo"/>
        <c:crossAx val="297921296"/>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2</xdr:col>
      <xdr:colOff>36286</xdr:colOff>
      <xdr:row>0</xdr:row>
      <xdr:rowOff>145141</xdr:rowOff>
    </xdr:from>
    <xdr:to>
      <xdr:col>22</xdr:col>
      <xdr:colOff>531091</xdr:colOff>
      <xdr:row>40</xdr:row>
      <xdr:rowOff>138545</xdr:rowOff>
    </xdr:to>
    <xdr:sp macro="" textlink="">
      <xdr:nvSpPr>
        <xdr:cNvPr id="2" name="Rectangle 1"/>
        <xdr:cNvSpPr/>
      </xdr:nvSpPr>
      <xdr:spPr>
        <a:xfrm>
          <a:off x="1260104" y="145141"/>
          <a:ext cx="12732987" cy="7382495"/>
        </a:xfrm>
        <a:prstGeom prst="rect">
          <a:avLst/>
        </a:prstGeom>
        <a:solidFill>
          <a:schemeClr val="accent4">
            <a:lumMod val="60000"/>
            <a:lumOff val="4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38334</xdr:colOff>
      <xdr:row>0</xdr:row>
      <xdr:rowOff>147191</xdr:rowOff>
    </xdr:from>
    <xdr:to>
      <xdr:col>22</xdr:col>
      <xdr:colOff>533139</xdr:colOff>
      <xdr:row>6</xdr:row>
      <xdr:rowOff>16340</xdr:rowOff>
    </xdr:to>
    <xdr:sp macro="" textlink="">
      <xdr:nvSpPr>
        <xdr:cNvPr id="3" name="Rectangle 2"/>
        <xdr:cNvSpPr/>
      </xdr:nvSpPr>
      <xdr:spPr>
        <a:xfrm>
          <a:off x="1262152" y="147191"/>
          <a:ext cx="12732987" cy="977513"/>
        </a:xfrm>
        <a:prstGeom prst="rect">
          <a:avLst/>
        </a:prstGeom>
        <a:solidFill>
          <a:schemeClr val="accent4"/>
        </a:solidFill>
        <a:ln>
          <a:noFill/>
        </a:ln>
        <a:effectLst>
          <a:outerShdw blurRad="152400" dist="203200" dir="12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607781</xdr:colOff>
      <xdr:row>1</xdr:row>
      <xdr:rowOff>117924</xdr:rowOff>
    </xdr:from>
    <xdr:to>
      <xdr:col>22</xdr:col>
      <xdr:colOff>179208</xdr:colOff>
      <xdr:row>5</xdr:row>
      <xdr:rowOff>141439</xdr:rowOff>
    </xdr:to>
    <xdr:sp macro="" textlink="">
      <xdr:nvSpPr>
        <xdr:cNvPr id="4" name="TextBox 3"/>
        <xdr:cNvSpPr txBox="1"/>
      </xdr:nvSpPr>
      <xdr:spPr>
        <a:xfrm>
          <a:off x="1219690" y="302651"/>
          <a:ext cx="12421518" cy="76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tx1"/>
              </a:solidFill>
              <a:latin typeface="Times New Roman" panose="02020603050405020304" pitchFamily="18" charset="0"/>
              <a:cs typeface="Times New Roman" panose="02020603050405020304" pitchFamily="18" charset="0"/>
            </a:rPr>
            <a:t>E-COMMERCE</a:t>
          </a:r>
          <a:r>
            <a:rPr lang="en-US" sz="3600" baseline="0">
              <a:solidFill>
                <a:schemeClr val="tx1"/>
              </a:solidFill>
              <a:latin typeface="Times New Roman" panose="02020603050405020304" pitchFamily="18" charset="0"/>
              <a:cs typeface="Times New Roman" panose="02020603050405020304" pitchFamily="18" charset="0"/>
            </a:rPr>
            <a:t> SALES PERFORMANCE DASHBOARD</a:t>
          </a:r>
          <a:endParaRPr lang="en-US" sz="36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77511</xdr:colOff>
      <xdr:row>15</xdr:row>
      <xdr:rowOff>11547</xdr:rowOff>
    </xdr:from>
    <xdr:to>
      <xdr:col>16</xdr:col>
      <xdr:colOff>344707</xdr:colOff>
      <xdr:row>27</xdr:row>
      <xdr:rowOff>28845</xdr:rowOff>
    </xdr:to>
    <xdr:sp macro="" textlink="">
      <xdr:nvSpPr>
        <xdr:cNvPr id="6" name="Rounded Rectangle 5"/>
        <xdr:cNvSpPr/>
      </xdr:nvSpPr>
      <xdr:spPr>
        <a:xfrm>
          <a:off x="6808511" y="2782456"/>
          <a:ext cx="3326741" cy="2234025"/>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87403</xdr:colOff>
      <xdr:row>15</xdr:row>
      <xdr:rowOff>11547</xdr:rowOff>
    </xdr:from>
    <xdr:to>
      <xdr:col>22</xdr:col>
      <xdr:colOff>356274</xdr:colOff>
      <xdr:row>27</xdr:row>
      <xdr:rowOff>25956</xdr:rowOff>
    </xdr:to>
    <xdr:sp macro="" textlink="">
      <xdr:nvSpPr>
        <xdr:cNvPr id="9" name="Rounded Rectangle 8"/>
        <xdr:cNvSpPr/>
      </xdr:nvSpPr>
      <xdr:spPr>
        <a:xfrm>
          <a:off x="10489858" y="2782456"/>
          <a:ext cx="3328416" cy="2231136"/>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56727</xdr:colOff>
      <xdr:row>15</xdr:row>
      <xdr:rowOff>16388</xdr:rowOff>
    </xdr:from>
    <xdr:to>
      <xdr:col>10</xdr:col>
      <xdr:colOff>300174</xdr:colOff>
      <xdr:row>40</xdr:row>
      <xdr:rowOff>38175</xdr:rowOff>
    </xdr:to>
    <xdr:sp macro="" textlink="">
      <xdr:nvSpPr>
        <xdr:cNvPr id="10" name="Rounded Rectangle 9"/>
        <xdr:cNvSpPr/>
      </xdr:nvSpPr>
      <xdr:spPr>
        <a:xfrm>
          <a:off x="3728182" y="2787297"/>
          <a:ext cx="2691083" cy="4639969"/>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150914</xdr:colOff>
      <xdr:row>6</xdr:row>
      <xdr:rowOff>115454</xdr:rowOff>
    </xdr:from>
    <xdr:to>
      <xdr:col>5</xdr:col>
      <xdr:colOff>461819</xdr:colOff>
      <xdr:row>40</xdr:row>
      <xdr:rowOff>11545</xdr:rowOff>
    </xdr:to>
    <xdr:sp macro="" textlink="">
      <xdr:nvSpPr>
        <xdr:cNvPr id="11" name="Rounded Rectangle 10"/>
        <xdr:cNvSpPr/>
      </xdr:nvSpPr>
      <xdr:spPr>
        <a:xfrm>
          <a:off x="1374732" y="1223818"/>
          <a:ext cx="2146632" cy="6176818"/>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28031</xdr:colOff>
      <xdr:row>27</xdr:row>
      <xdr:rowOff>181864</xdr:rowOff>
    </xdr:from>
    <xdr:to>
      <xdr:col>16</xdr:col>
      <xdr:colOff>295227</xdr:colOff>
      <xdr:row>40</xdr:row>
      <xdr:rowOff>11545</xdr:rowOff>
    </xdr:to>
    <xdr:sp macro="" textlink="">
      <xdr:nvSpPr>
        <xdr:cNvPr id="12" name="Rounded Rectangle 11"/>
        <xdr:cNvSpPr/>
      </xdr:nvSpPr>
      <xdr:spPr>
        <a:xfrm>
          <a:off x="6759031" y="5169500"/>
          <a:ext cx="3326741" cy="2231136"/>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87403</xdr:colOff>
      <xdr:row>27</xdr:row>
      <xdr:rowOff>181864</xdr:rowOff>
    </xdr:from>
    <xdr:to>
      <xdr:col>22</xdr:col>
      <xdr:colOff>356274</xdr:colOff>
      <xdr:row>40</xdr:row>
      <xdr:rowOff>11545</xdr:rowOff>
    </xdr:to>
    <xdr:sp macro="" textlink="">
      <xdr:nvSpPr>
        <xdr:cNvPr id="13" name="Rounded Rectangle 12"/>
        <xdr:cNvSpPr/>
      </xdr:nvSpPr>
      <xdr:spPr>
        <a:xfrm>
          <a:off x="10489858" y="5169500"/>
          <a:ext cx="3328416" cy="2231136"/>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56727</xdr:colOff>
      <xdr:row>6</xdr:row>
      <xdr:rowOff>115455</xdr:rowOff>
    </xdr:from>
    <xdr:to>
      <xdr:col>11</xdr:col>
      <xdr:colOff>196265</xdr:colOff>
      <xdr:row>13</xdr:row>
      <xdr:rowOff>90058</xdr:rowOff>
    </xdr:to>
    <xdr:sp macro="" textlink="Pivot_Table!H13">
      <xdr:nvSpPr>
        <xdr:cNvPr id="16" name="Rounded Rectangle 15"/>
        <xdr:cNvSpPr/>
      </xdr:nvSpPr>
      <xdr:spPr>
        <a:xfrm>
          <a:off x="3728182" y="1223819"/>
          <a:ext cx="3199083" cy="1267694"/>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1D401C16-8BDE-45B7-ACCC-8BCCF05A016E}" type="TxLink">
            <a:rPr lang="en-US" sz="28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r"/>
            <a:t>$1,264,762</a:t>
          </a:fld>
          <a:endParaRPr lang="en-US" sz="2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150914</xdr:colOff>
      <xdr:row>6</xdr:row>
      <xdr:rowOff>115455</xdr:rowOff>
    </xdr:from>
    <xdr:to>
      <xdr:col>5</xdr:col>
      <xdr:colOff>461819</xdr:colOff>
      <xdr:row>40</xdr:row>
      <xdr:rowOff>11546</xdr:rowOff>
    </xdr:to>
    <xdr:sp macro="" textlink="">
      <xdr:nvSpPr>
        <xdr:cNvPr id="27" name="Rounded Rectangle 26"/>
        <xdr:cNvSpPr/>
      </xdr:nvSpPr>
      <xdr:spPr>
        <a:xfrm>
          <a:off x="1374732" y="1223819"/>
          <a:ext cx="2146632" cy="6176818"/>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414636</xdr:colOff>
      <xdr:row>6</xdr:row>
      <xdr:rowOff>115455</xdr:rowOff>
    </xdr:from>
    <xdr:to>
      <xdr:col>16</xdr:col>
      <xdr:colOff>554174</xdr:colOff>
      <xdr:row>13</xdr:row>
      <xdr:rowOff>90058</xdr:rowOff>
    </xdr:to>
    <xdr:sp macro="" textlink="Pivot_Table!H16">
      <xdr:nvSpPr>
        <xdr:cNvPr id="28" name="Rounded Rectangle 27"/>
        <xdr:cNvSpPr/>
      </xdr:nvSpPr>
      <xdr:spPr>
        <a:xfrm>
          <a:off x="7145636" y="1223819"/>
          <a:ext cx="3199083" cy="1267694"/>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9649AD7A-A516-4AAA-B4B6-33BE7B2BF286}" type="TxLink">
            <a:rPr lang="en-US" sz="28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r"/>
            <a:t>1200</a:t>
          </a:fld>
          <a:endParaRPr lang="en-US" sz="2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216736</xdr:colOff>
      <xdr:row>6</xdr:row>
      <xdr:rowOff>115455</xdr:rowOff>
    </xdr:from>
    <xdr:to>
      <xdr:col>22</xdr:col>
      <xdr:colOff>356274</xdr:colOff>
      <xdr:row>13</xdr:row>
      <xdr:rowOff>90058</xdr:rowOff>
    </xdr:to>
    <xdr:sp macro="" textlink="Pivot_Table!H19">
      <xdr:nvSpPr>
        <xdr:cNvPr id="30" name="Rounded Rectangle 29"/>
        <xdr:cNvSpPr/>
      </xdr:nvSpPr>
      <xdr:spPr>
        <a:xfrm>
          <a:off x="10619191" y="1223819"/>
          <a:ext cx="3199083" cy="1267694"/>
        </a:xfrm>
        <a:prstGeom prst="roundRect">
          <a:avLst/>
        </a:prstGeom>
        <a:solidFill>
          <a:schemeClr val="bg1"/>
        </a:solidFill>
        <a:ln>
          <a:noFill/>
        </a:ln>
        <a:effectLst>
          <a:outerShdw blurRad="190500" dist="152400" dir="18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73B1C259-94D5-43B1-AD77-F21868BBD448}" type="TxLink">
            <a:rPr lang="en-US" sz="28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r"/>
            <a:t>$1,054</a:t>
          </a:fld>
          <a:endParaRPr lang="en-US" sz="2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26711</xdr:colOff>
      <xdr:row>16</xdr:row>
      <xdr:rowOff>127000</xdr:rowOff>
    </xdr:from>
    <xdr:to>
      <xdr:col>16</xdr:col>
      <xdr:colOff>463550</xdr:colOff>
      <xdr:row>27</xdr:row>
      <xdr:rowOff>114300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193164</xdr:colOff>
      <xdr:row>15</xdr:row>
      <xdr:rowOff>15473</xdr:rowOff>
    </xdr:from>
    <xdr:to>
      <xdr:col>15</xdr:col>
      <xdr:colOff>506395</xdr:colOff>
      <xdr:row>16</xdr:row>
      <xdr:rowOff>175024</xdr:rowOff>
    </xdr:to>
    <xdr:sp macro="" textlink="">
      <xdr:nvSpPr>
        <xdr:cNvPr id="31" name="TextBox 30"/>
        <xdr:cNvSpPr txBox="1"/>
      </xdr:nvSpPr>
      <xdr:spPr>
        <a:xfrm>
          <a:off x="6924164" y="2786382"/>
          <a:ext cx="2760867" cy="344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SALES</a:t>
          </a:r>
          <a:r>
            <a:rPr lang="en-US" sz="1800" b="1" baseline="0">
              <a:latin typeface="Times New Roman" panose="02020603050405020304" pitchFamily="18" charset="0"/>
              <a:cs typeface="Times New Roman" panose="02020603050405020304" pitchFamily="18" charset="0"/>
            </a:rPr>
            <a:t> BY PRODUCT</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11</xdr:col>
      <xdr:colOff>7472</xdr:colOff>
      <xdr:row>30</xdr:row>
      <xdr:rowOff>0</xdr:rowOff>
    </xdr:from>
    <xdr:to>
      <xdr:col>16</xdr:col>
      <xdr:colOff>268941</xdr:colOff>
      <xdr:row>41</xdr:row>
      <xdr:rowOff>82176</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172303</xdr:colOff>
      <xdr:row>28</xdr:row>
      <xdr:rowOff>854</xdr:rowOff>
    </xdr:from>
    <xdr:to>
      <xdr:col>15</xdr:col>
      <xdr:colOff>485534</xdr:colOff>
      <xdr:row>31</xdr:row>
      <xdr:rowOff>168751</xdr:rowOff>
    </xdr:to>
    <xdr:sp macro="" textlink="">
      <xdr:nvSpPr>
        <xdr:cNvPr id="36" name="TextBox 35"/>
        <xdr:cNvSpPr txBox="1"/>
      </xdr:nvSpPr>
      <xdr:spPr>
        <a:xfrm>
          <a:off x="6903303" y="5173218"/>
          <a:ext cx="2760867" cy="72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PAYMENT</a:t>
          </a:r>
          <a:r>
            <a:rPr lang="en-US" sz="1800" b="1" baseline="0">
              <a:latin typeface="Times New Roman" panose="02020603050405020304" pitchFamily="18" charset="0"/>
              <a:cs typeface="Times New Roman" panose="02020603050405020304" pitchFamily="18" charset="0"/>
            </a:rPr>
            <a:t> METHOD PERFORMANCE</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16</xdr:col>
      <xdr:colOff>575235</xdr:colOff>
      <xdr:row>16</xdr:row>
      <xdr:rowOff>163286</xdr:rowOff>
    </xdr:from>
    <xdr:to>
      <xdr:col>22</xdr:col>
      <xdr:colOff>321235</xdr:colOff>
      <xdr:row>27</xdr:row>
      <xdr:rowOff>179294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155805</xdr:colOff>
      <xdr:row>15</xdr:row>
      <xdr:rowOff>15470</xdr:rowOff>
    </xdr:from>
    <xdr:to>
      <xdr:col>22</xdr:col>
      <xdr:colOff>373523</xdr:colOff>
      <xdr:row>16</xdr:row>
      <xdr:rowOff>175021</xdr:rowOff>
    </xdr:to>
    <xdr:sp macro="" textlink="">
      <xdr:nvSpPr>
        <xdr:cNvPr id="38" name="TextBox 37"/>
        <xdr:cNvSpPr txBox="1"/>
      </xdr:nvSpPr>
      <xdr:spPr>
        <a:xfrm>
          <a:off x="10558260" y="2786379"/>
          <a:ext cx="3277263" cy="344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ORDER</a:t>
          </a:r>
          <a:r>
            <a:rPr lang="en-US" sz="1800" b="1" baseline="0">
              <a:latin typeface="Times New Roman" panose="02020603050405020304" pitchFamily="18" charset="0"/>
              <a:cs typeface="Times New Roman" panose="02020603050405020304" pitchFamily="18" charset="0"/>
            </a:rPr>
            <a:t> STATUS SUMMARY</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5</xdr:col>
      <xdr:colOff>560294</xdr:colOff>
      <xdr:row>18</xdr:row>
      <xdr:rowOff>7471</xdr:rowOff>
    </xdr:from>
    <xdr:to>
      <xdr:col>10</xdr:col>
      <xdr:colOff>388471</xdr:colOff>
      <xdr:row>39</xdr:row>
      <xdr:rowOff>158024</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118459</xdr:colOff>
      <xdr:row>15</xdr:row>
      <xdr:rowOff>15469</xdr:rowOff>
    </xdr:from>
    <xdr:to>
      <xdr:col>10</xdr:col>
      <xdr:colOff>431690</xdr:colOff>
      <xdr:row>18</xdr:row>
      <xdr:rowOff>171819</xdr:rowOff>
    </xdr:to>
    <xdr:sp macro="" textlink="">
      <xdr:nvSpPr>
        <xdr:cNvPr id="40" name="TextBox 39"/>
        <xdr:cNvSpPr txBox="1"/>
      </xdr:nvSpPr>
      <xdr:spPr>
        <a:xfrm>
          <a:off x="3789914" y="2786378"/>
          <a:ext cx="2760867" cy="71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REFERRAL</a:t>
          </a:r>
          <a:r>
            <a:rPr lang="en-US" sz="1800" b="1" baseline="0">
              <a:latin typeface="Times New Roman" panose="02020603050405020304" pitchFamily="18" charset="0"/>
              <a:cs typeface="Times New Roman" panose="02020603050405020304" pitchFamily="18" charset="0"/>
            </a:rPr>
            <a:t> SOURCE </a:t>
          </a:r>
        </a:p>
        <a:p>
          <a:r>
            <a:rPr lang="en-US" sz="1800" b="1" baseline="0">
              <a:latin typeface="Times New Roman" panose="02020603050405020304" pitchFamily="18" charset="0"/>
              <a:cs typeface="Times New Roman" panose="02020603050405020304" pitchFamily="18" charset="0"/>
            </a:rPr>
            <a:t>PERFORMANCE</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17</xdr:col>
      <xdr:colOff>77305</xdr:colOff>
      <xdr:row>28</xdr:row>
      <xdr:rowOff>22087</xdr:rowOff>
    </xdr:from>
    <xdr:to>
      <xdr:col>22</xdr:col>
      <xdr:colOff>364783</xdr:colOff>
      <xdr:row>39</xdr:row>
      <xdr:rowOff>148032</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79490</xdr:colOff>
      <xdr:row>28</xdr:row>
      <xdr:rowOff>24393</xdr:rowOff>
    </xdr:from>
    <xdr:to>
      <xdr:col>22</xdr:col>
      <xdr:colOff>503111</xdr:colOff>
      <xdr:row>29</xdr:row>
      <xdr:rowOff>175850</xdr:rowOff>
    </xdr:to>
    <xdr:sp macro="" textlink="">
      <xdr:nvSpPr>
        <xdr:cNvPr id="42" name="TextBox 41"/>
        <xdr:cNvSpPr txBox="1"/>
      </xdr:nvSpPr>
      <xdr:spPr>
        <a:xfrm>
          <a:off x="10481945" y="5196757"/>
          <a:ext cx="3483166" cy="336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70" b="1">
              <a:latin typeface="Times New Roman" panose="02020603050405020304" pitchFamily="18" charset="0"/>
              <a:cs typeface="Times New Roman" panose="02020603050405020304" pitchFamily="18" charset="0"/>
            </a:rPr>
            <a:t>MONTHLY REVENUE TREND</a:t>
          </a:r>
        </a:p>
      </xdr:txBody>
    </xdr:sp>
    <xdr:clientData/>
  </xdr:twoCellAnchor>
  <xdr:twoCellAnchor editAs="oneCell">
    <xdr:from>
      <xdr:col>2</xdr:col>
      <xdr:colOff>237168</xdr:colOff>
      <xdr:row>19</xdr:row>
      <xdr:rowOff>150081</xdr:rowOff>
    </xdr:from>
    <xdr:to>
      <xdr:col>5</xdr:col>
      <xdr:colOff>369455</xdr:colOff>
      <xdr:row>30</xdr:row>
      <xdr:rowOff>11539</xdr:rowOff>
    </xdr:to>
    <mc:AlternateContent xmlns:mc="http://schemas.openxmlformats.org/markup-compatibility/2006">
      <mc:Choice xmlns:a14="http://schemas.microsoft.com/office/drawing/2010/main" Requires="a14">
        <xdr:graphicFrame macro="">
          <xdr:nvGraphicFramePr>
            <xdr:cNvPr id="29"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60986" y="3659899"/>
              <a:ext cx="1968014" cy="1893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237168</xdr:colOff>
      <xdr:row>30</xdr:row>
      <xdr:rowOff>118336</xdr:rowOff>
    </xdr:from>
    <xdr:to>
      <xdr:col>5</xdr:col>
      <xdr:colOff>369455</xdr:colOff>
      <xdr:row>39</xdr:row>
      <xdr:rowOff>80815</xdr:rowOff>
    </xdr:to>
    <mc:AlternateContent xmlns:mc="http://schemas.openxmlformats.org/markup-compatibility/2006">
      <mc:Choice xmlns:a14="http://schemas.microsoft.com/office/drawing/2010/main" Requires="a14">
        <xdr:graphicFrame macro="">
          <xdr:nvGraphicFramePr>
            <xdr:cNvPr id="32" name="Referral_Source"/>
            <xdr:cNvGraphicFramePr/>
          </xdr:nvGraphicFramePr>
          <xdr:xfrm>
            <a:off x="0" y="0"/>
            <a:ext cx="0" cy="0"/>
          </xdr:xfrm>
          <a:graphic>
            <a:graphicData uri="http://schemas.microsoft.com/office/drawing/2010/slicer">
              <sle:slicer xmlns:sle="http://schemas.microsoft.com/office/drawing/2010/slicer" name="Referral_Source"/>
            </a:graphicData>
          </a:graphic>
        </xdr:graphicFrame>
      </mc:Choice>
      <mc:Fallback>
        <xdr:sp macro="" textlink="">
          <xdr:nvSpPr>
            <xdr:cNvPr id="0" name=""/>
            <xdr:cNvSpPr>
              <a:spLocks noTextEdit="1"/>
            </xdr:cNvSpPr>
          </xdr:nvSpPr>
          <xdr:spPr>
            <a:xfrm>
              <a:off x="1460986" y="5660154"/>
              <a:ext cx="1968014" cy="1625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237168</xdr:colOff>
      <xdr:row>7</xdr:row>
      <xdr:rowOff>75040</xdr:rowOff>
    </xdr:from>
    <xdr:to>
      <xdr:col>5</xdr:col>
      <xdr:colOff>369455</xdr:colOff>
      <xdr:row>19</xdr:row>
      <xdr:rowOff>23091</xdr:rowOff>
    </xdr:to>
    <mc:AlternateContent xmlns:mc="http://schemas.openxmlformats.org/markup-compatibility/2006">
      <mc:Choice xmlns:a14="http://schemas.microsoft.com/office/drawing/2010/main" Requires="a14">
        <xdr:graphicFrame macro="">
          <xdr:nvGraphicFramePr>
            <xdr:cNvPr id="3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60986" y="1368131"/>
              <a:ext cx="1968014" cy="2164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511991</xdr:colOff>
      <xdr:row>6</xdr:row>
      <xdr:rowOff>125276</xdr:rowOff>
    </xdr:from>
    <xdr:to>
      <xdr:col>11</xdr:col>
      <xdr:colOff>266700</xdr:colOff>
      <xdr:row>9</xdr:row>
      <xdr:rowOff>38100</xdr:rowOff>
    </xdr:to>
    <xdr:sp macro="" textlink="">
      <xdr:nvSpPr>
        <xdr:cNvPr id="43" name="TextBox 42"/>
        <xdr:cNvSpPr txBox="1"/>
      </xdr:nvSpPr>
      <xdr:spPr>
        <a:xfrm>
          <a:off x="4183446" y="1233640"/>
          <a:ext cx="2814254" cy="467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b="1">
              <a:latin typeface="Times New Roman" panose="02020603050405020304" pitchFamily="18" charset="0"/>
              <a:cs typeface="Times New Roman" panose="02020603050405020304" pitchFamily="18" charset="0"/>
            </a:rPr>
            <a:t>TOTAL</a:t>
          </a:r>
          <a:r>
            <a:rPr lang="en-US" sz="1650" b="1" baseline="0">
              <a:latin typeface="Times New Roman" panose="02020603050405020304" pitchFamily="18" charset="0"/>
              <a:cs typeface="Times New Roman" panose="02020603050405020304" pitchFamily="18" charset="0"/>
            </a:rPr>
            <a:t> REVENUE </a:t>
          </a:r>
          <a:endParaRPr lang="en-US" sz="1650" b="1">
            <a:latin typeface="Times New Roman" panose="02020603050405020304" pitchFamily="18" charset="0"/>
            <a:cs typeface="Times New Roman" panose="02020603050405020304" pitchFamily="18" charset="0"/>
          </a:endParaRPr>
        </a:p>
      </xdr:txBody>
    </xdr:sp>
    <xdr:clientData/>
  </xdr:twoCellAnchor>
  <xdr:twoCellAnchor>
    <xdr:from>
      <xdr:col>12</xdr:col>
      <xdr:colOff>409065</xdr:colOff>
      <xdr:row>6</xdr:row>
      <xdr:rowOff>121304</xdr:rowOff>
    </xdr:from>
    <xdr:to>
      <xdr:col>16</xdr:col>
      <xdr:colOff>292100</xdr:colOff>
      <xdr:row>9</xdr:row>
      <xdr:rowOff>52916</xdr:rowOff>
    </xdr:to>
    <xdr:sp macro="" textlink="">
      <xdr:nvSpPr>
        <xdr:cNvPr id="50" name="TextBox 49"/>
        <xdr:cNvSpPr txBox="1"/>
      </xdr:nvSpPr>
      <xdr:spPr>
        <a:xfrm>
          <a:off x="7751974" y="1229668"/>
          <a:ext cx="2330671" cy="485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b="1">
              <a:latin typeface="Times New Roman" panose="02020603050405020304" pitchFamily="18" charset="0"/>
              <a:cs typeface="Times New Roman" panose="02020603050405020304" pitchFamily="18" charset="0"/>
            </a:rPr>
            <a:t>TOTAL</a:t>
          </a:r>
          <a:r>
            <a:rPr lang="en-US" sz="1650" b="1" baseline="0">
              <a:latin typeface="Times New Roman" panose="02020603050405020304" pitchFamily="18" charset="0"/>
              <a:cs typeface="Times New Roman" panose="02020603050405020304" pitchFamily="18" charset="0"/>
            </a:rPr>
            <a:t> ORDER</a:t>
          </a:r>
          <a:endParaRPr lang="en-US" sz="1650" b="1">
            <a:latin typeface="Times New Roman" panose="02020603050405020304" pitchFamily="18" charset="0"/>
            <a:cs typeface="Times New Roman" panose="02020603050405020304" pitchFamily="18" charset="0"/>
          </a:endParaRPr>
        </a:p>
      </xdr:txBody>
    </xdr:sp>
    <xdr:clientData/>
  </xdr:twoCellAnchor>
  <xdr:twoCellAnchor>
    <xdr:from>
      <xdr:col>17</xdr:col>
      <xdr:colOff>605241</xdr:colOff>
      <xdr:row>6</xdr:row>
      <xdr:rowOff>117127</xdr:rowOff>
    </xdr:from>
    <xdr:to>
      <xdr:col>23</xdr:col>
      <xdr:colOff>245600</xdr:colOff>
      <xdr:row>9</xdr:row>
      <xdr:rowOff>58168</xdr:rowOff>
    </xdr:to>
    <xdr:sp macro="" textlink="">
      <xdr:nvSpPr>
        <xdr:cNvPr id="51" name="TextBox 50"/>
        <xdr:cNvSpPr txBox="1"/>
      </xdr:nvSpPr>
      <xdr:spPr>
        <a:xfrm>
          <a:off x="11007696" y="1225491"/>
          <a:ext cx="3311813" cy="495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b="1">
              <a:latin typeface="Times New Roman" panose="02020603050405020304" pitchFamily="18" charset="0"/>
              <a:cs typeface="Times New Roman" panose="02020603050405020304" pitchFamily="18" charset="0"/>
            </a:rPr>
            <a:t>AVERAGE </a:t>
          </a:r>
          <a:r>
            <a:rPr lang="en-US" sz="1650" b="1" baseline="0">
              <a:latin typeface="Times New Roman" panose="02020603050405020304" pitchFamily="18" charset="0"/>
              <a:cs typeface="Times New Roman" panose="02020603050405020304" pitchFamily="18" charset="0"/>
            </a:rPr>
            <a:t>ORDER VALUE</a:t>
          </a:r>
          <a:endParaRPr lang="en-US" sz="1650" b="1">
            <a:latin typeface="Times New Roman" panose="02020603050405020304" pitchFamily="18" charset="0"/>
            <a:cs typeface="Times New Roman" panose="02020603050405020304" pitchFamily="18" charset="0"/>
          </a:endParaRPr>
        </a:p>
      </xdr:txBody>
    </xdr:sp>
    <xdr:clientData/>
  </xdr:twoCellAnchor>
  <xdr:twoCellAnchor editAs="oneCell">
    <xdr:from>
      <xdr:col>6</xdr:col>
      <xdr:colOff>3156</xdr:colOff>
      <xdr:row>6</xdr:row>
      <xdr:rowOff>95252</xdr:rowOff>
    </xdr:from>
    <xdr:to>
      <xdr:col>7</xdr:col>
      <xdr:colOff>39687</xdr:colOff>
      <xdr:row>8</xdr:row>
      <xdr:rowOff>175374</xdr:rowOff>
    </xdr:to>
    <xdr:pic>
      <xdr:nvPicPr>
        <xdr:cNvPr id="7" name="Picture 6"/>
        <xdr:cNvPicPr>
          <a:picLocks noChangeAspect="1"/>
        </xdr:cNvPicPr>
      </xdr:nvPicPr>
      <xdr:blipFill rotWithShape="1">
        <a:blip xmlns:r="http://schemas.openxmlformats.org/officeDocument/2006/relationships" r:embed="rId6"/>
        <a:srcRect t="9726" b="7518"/>
        <a:stretch/>
      </xdr:blipFill>
      <xdr:spPr>
        <a:xfrm>
          <a:off x="3674611" y="1203616"/>
          <a:ext cx="648440" cy="449576"/>
        </a:xfrm>
        <a:prstGeom prst="rect">
          <a:avLst/>
        </a:prstGeom>
      </xdr:spPr>
    </xdr:pic>
    <xdr:clientData/>
  </xdr:twoCellAnchor>
  <xdr:twoCellAnchor editAs="oneCell">
    <xdr:from>
      <xdr:col>11</xdr:col>
      <xdr:colOff>406221</xdr:colOff>
      <xdr:row>6</xdr:row>
      <xdr:rowOff>113578</xdr:rowOff>
    </xdr:from>
    <xdr:to>
      <xdr:col>12</xdr:col>
      <xdr:colOff>558801</xdr:colOff>
      <xdr:row>9</xdr:row>
      <xdr:rowOff>51383</xdr:rowOff>
    </xdr:to>
    <xdr:pic>
      <xdr:nvPicPr>
        <xdr:cNvPr id="8" name="Picture 7"/>
        <xdr:cNvPicPr>
          <a:picLocks noChangeAspect="1"/>
        </xdr:cNvPicPr>
      </xdr:nvPicPr>
      <xdr:blipFill>
        <a:blip xmlns:r="http://schemas.openxmlformats.org/officeDocument/2006/relationships" r:embed="rId7"/>
        <a:stretch>
          <a:fillRect/>
        </a:stretch>
      </xdr:blipFill>
      <xdr:spPr>
        <a:xfrm>
          <a:off x="7137221" y="1221942"/>
          <a:ext cx="764489" cy="491986"/>
        </a:xfrm>
        <a:prstGeom prst="rect">
          <a:avLst/>
        </a:prstGeom>
      </xdr:spPr>
    </xdr:pic>
    <xdr:clientData/>
  </xdr:twoCellAnchor>
  <xdr:twoCellAnchor editAs="oneCell">
    <xdr:from>
      <xdr:col>17</xdr:col>
      <xdr:colOff>98682</xdr:colOff>
      <xdr:row>6</xdr:row>
      <xdr:rowOff>107950</xdr:rowOff>
    </xdr:from>
    <xdr:to>
      <xdr:col>18</xdr:col>
      <xdr:colOff>336549</xdr:colOff>
      <xdr:row>8</xdr:row>
      <xdr:rowOff>177800</xdr:rowOff>
    </xdr:to>
    <xdr:pic>
      <xdr:nvPicPr>
        <xdr:cNvPr id="14" name="Picture 13"/>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10000" b="90000" l="10000" r="90000"/>
                  </a14:imgEffect>
                </a14:imgLayer>
              </a14:imgProps>
            </a:ext>
          </a:extLst>
        </a:blip>
        <a:stretch>
          <a:fillRect/>
        </a:stretch>
      </xdr:blipFill>
      <xdr:spPr>
        <a:xfrm>
          <a:off x="10501137" y="1216314"/>
          <a:ext cx="849776" cy="43930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57.497388888885" createdVersion="5" refreshedVersion="5" minRefreshableVersion="3" recordCount="1200">
  <cacheSource type="worksheet">
    <worksheetSource name="Sales_Table"/>
  </cacheSource>
  <cacheFields count="20">
    <cacheField name="Order_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acheField>
    <cacheField name="Customer_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11.39" maxValue="699.93"/>
    </cacheField>
    <cacheField name="Shipping_Address" numFmtId="0">
      <sharedItems/>
    </cacheField>
    <cacheField name="Payment_Method" numFmtId="0">
      <sharedItems count="5">
        <s v="Debit Card"/>
        <s v="Online"/>
        <s v="Credit Card"/>
        <s v="Gift Card"/>
        <s v="Cash"/>
      </sharedItems>
    </cacheField>
    <cacheField name="Order_Status" numFmtId="0">
      <sharedItems count="5">
        <s v="Shipped"/>
        <s v="Cancelled"/>
        <s v="Returned"/>
        <s v="Delivered"/>
        <s v="Pending"/>
      </sharedItems>
    </cacheField>
    <cacheField name="Tracking_Number" numFmtId="0">
      <sharedItems/>
    </cacheField>
    <cacheField name="Items_In_Cart" numFmtId="0">
      <sharedItems containsSemiMixedTypes="0" containsString="0" containsNumber="1" containsInteger="1" minValue="1" maxValue="10"/>
    </cacheField>
    <cacheField name="Coupon_Code" numFmtId="0">
      <sharedItems containsBlank="1"/>
    </cacheField>
    <cacheField name="Referral_Source" numFmtId="0">
      <sharedItems count="5">
        <s v="Instagram"/>
        <s v="Referral"/>
        <s v="Email"/>
        <s v="Facebook"/>
        <s v="Google"/>
      </sharedItems>
    </cacheField>
    <cacheField name="Total_Price" numFmtId="0">
      <sharedItems containsSemiMixedTypes="0" containsString="0" containsNumber="1" minValue="11.39" maxValue="3456.4"/>
    </cacheField>
    <cacheField name=" Revenue" numFmtId="0">
      <sharedItems containsSemiMixedTypes="0" containsString="0" containsNumber="1" minValue="11.39" maxValue="3456.3999999999996"/>
    </cacheField>
    <cacheField name="Month" numFmtId="0">
      <sharedItems count="12">
        <s v="Jan"/>
        <s v="Aug"/>
        <s v="Feb"/>
        <s v="Oct"/>
        <s v="May"/>
        <s v="Jun"/>
        <s v="Apr"/>
        <s v="Nov"/>
        <s v="Dec"/>
        <s v="Mar"/>
        <s v="Jul"/>
        <s v="Sep"/>
      </sharedItems>
    </cacheField>
    <cacheField name="Quarter" numFmtId="0">
      <sharedItems/>
    </cacheField>
    <cacheField name="Order_Category" numFmtId="0">
      <sharedItems count="3">
        <s v="Large"/>
        <s v="Medium"/>
        <s v="Small"/>
      </sharedItems>
    </cacheField>
    <cacheField name="Shipping_Status" numFmtId="0">
      <sharedItems/>
    </cacheField>
    <cacheField name="Discount_Used"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x v="0"/>
    <d v="2023-01-04T00:00:00"/>
    <s v="C72649"/>
    <x v="0"/>
    <n v="5"/>
    <n v="570.62"/>
    <s v="928 Main St"/>
    <x v="0"/>
    <x v="0"/>
    <s v="TRK37947903"/>
    <n v="7"/>
    <s v="SAVE10"/>
    <x v="0"/>
    <n v="2853.1"/>
    <n v="2853.1"/>
    <x v="0"/>
    <s v="Q1"/>
    <x v="0"/>
    <s v="Pending"/>
    <s v="Yes"/>
  </r>
  <r>
    <x v="1"/>
    <d v="2024-08-23T00:00:00"/>
    <s v="C75739"/>
    <x v="1"/>
    <n v="2"/>
    <n v="151.35"/>
    <s v="823 Main St"/>
    <x v="1"/>
    <x v="0"/>
    <s v="TRK91186779"/>
    <n v="3"/>
    <s v="SAVE10"/>
    <x v="1"/>
    <n v="302.7"/>
    <n v="302.7"/>
    <x v="1"/>
    <s v="Q3"/>
    <x v="1"/>
    <s v="Pending"/>
    <s v="Yes"/>
  </r>
  <r>
    <x v="2"/>
    <d v="2024-02-27T00:00:00"/>
    <s v="C81728"/>
    <x v="2"/>
    <n v="5"/>
    <n v="550.67999999999995"/>
    <s v="512 Main St"/>
    <x v="2"/>
    <x v="1"/>
    <s v="TRK42903982"/>
    <n v="8"/>
    <s v="FREESHIP"/>
    <x v="2"/>
    <n v="2753.4"/>
    <n v="2753.3999999999996"/>
    <x v="2"/>
    <s v="Q1"/>
    <x v="0"/>
    <s v="Pending"/>
    <s v="Yes"/>
  </r>
  <r>
    <x v="3"/>
    <d v="2023-10-15T00:00:00"/>
    <s v="C33540"/>
    <x v="3"/>
    <n v="1"/>
    <n v="273.19"/>
    <s v="275 Main St"/>
    <x v="0"/>
    <x v="2"/>
    <s v="TRK62788070"/>
    <n v="5"/>
    <s v="SAVE10"/>
    <x v="3"/>
    <n v="273.19"/>
    <n v="273.19"/>
    <x v="3"/>
    <s v="Q4"/>
    <x v="1"/>
    <s v="Pending"/>
    <s v="Yes"/>
  </r>
  <r>
    <x v="4"/>
    <d v="2025-05-08T00:00:00"/>
    <s v="C81840"/>
    <x v="4"/>
    <n v="4"/>
    <n v="626.01"/>
    <s v="668 Main St"/>
    <x v="1"/>
    <x v="3"/>
    <s v="TRK29241424"/>
    <n v="8"/>
    <s v="SAVE10"/>
    <x v="2"/>
    <n v="2504.04"/>
    <n v="2504.04"/>
    <x v="4"/>
    <s v="Q2"/>
    <x v="0"/>
    <s v="Completed"/>
    <s v="Yes"/>
  </r>
  <r>
    <x v="5"/>
    <d v="2023-10-23T00:00:00"/>
    <s v="C37249"/>
    <x v="1"/>
    <n v="2"/>
    <n v="245.86"/>
    <s v="934 Main St"/>
    <x v="2"/>
    <x v="0"/>
    <s v="TRK72976927"/>
    <n v="4"/>
    <s v="SAVE10"/>
    <x v="0"/>
    <n v="491.72"/>
    <n v="491.72"/>
    <x v="3"/>
    <s v="Q4"/>
    <x v="1"/>
    <s v="Pending"/>
    <s v="Yes"/>
  </r>
  <r>
    <x v="6"/>
    <d v="2025-06-17T00:00:00"/>
    <s v="C83492"/>
    <x v="5"/>
    <n v="1"/>
    <n v="664.42"/>
    <s v="986 Main St"/>
    <x v="3"/>
    <x v="2"/>
    <s v="TRK96417362"/>
    <n v="6"/>
    <s v="SAVE10"/>
    <x v="3"/>
    <n v="664.42"/>
    <n v="664.42"/>
    <x v="5"/>
    <s v="Q2"/>
    <x v="0"/>
    <s v="Pending"/>
    <s v="Yes"/>
  </r>
  <r>
    <x v="7"/>
    <d v="2023-05-12T00:00:00"/>
    <s v="C41460"/>
    <x v="0"/>
    <n v="5"/>
    <n v="149.55000000000001"/>
    <s v="706 Main St"/>
    <x v="4"/>
    <x v="0"/>
    <s v="TRK78809193"/>
    <n v="9"/>
    <s v="FREESHIP"/>
    <x v="3"/>
    <n v="747.75"/>
    <n v="747.75"/>
    <x v="4"/>
    <s v="Q2"/>
    <x v="0"/>
    <s v="Pending"/>
    <s v="Yes"/>
  </r>
  <r>
    <x v="8"/>
    <d v="2025-04-02T00:00:00"/>
    <s v="C26817"/>
    <x v="1"/>
    <n v="2"/>
    <n v="134.28"/>
    <s v="904 Main St"/>
    <x v="3"/>
    <x v="1"/>
    <s v="TRK61042692"/>
    <n v="2"/>
    <m/>
    <x v="2"/>
    <n v="268.56"/>
    <n v="268.56"/>
    <x v="6"/>
    <s v="Q2"/>
    <x v="1"/>
    <s v="Pending"/>
    <s v="No"/>
  </r>
  <r>
    <x v="9"/>
    <d v="2023-11-21T00:00:00"/>
    <s v="C31946"/>
    <x v="6"/>
    <n v="4"/>
    <n v="509.38"/>
    <s v="102 Main St"/>
    <x v="2"/>
    <x v="0"/>
    <s v="TRK33478363"/>
    <n v="6"/>
    <s v="SAVE10"/>
    <x v="4"/>
    <n v="2037.52"/>
    <n v="2037.52"/>
    <x v="7"/>
    <s v="Q4"/>
    <x v="0"/>
    <s v="Pending"/>
    <s v="Yes"/>
  </r>
  <r>
    <x v="10"/>
    <d v="2023-12-29T00:00:00"/>
    <s v="C43443"/>
    <x v="2"/>
    <n v="5"/>
    <n v="625.97"/>
    <s v="333 Main St"/>
    <x v="2"/>
    <x v="2"/>
    <s v="TRK98859248"/>
    <n v="9"/>
    <s v="WINTER15"/>
    <x v="0"/>
    <n v="3129.85"/>
    <n v="3129.8500000000004"/>
    <x v="8"/>
    <s v="Q4"/>
    <x v="0"/>
    <s v="Pending"/>
    <s v="Yes"/>
  </r>
  <r>
    <x v="11"/>
    <d v="2024-02-17T00:00:00"/>
    <s v="C93861"/>
    <x v="0"/>
    <n v="3"/>
    <n v="49.14"/>
    <s v="831 Main St"/>
    <x v="1"/>
    <x v="2"/>
    <s v="TRK48234646"/>
    <n v="7"/>
    <s v="SAVE10"/>
    <x v="2"/>
    <n v="147.41999999999999"/>
    <n v="147.42000000000002"/>
    <x v="2"/>
    <s v="Q1"/>
    <x v="1"/>
    <s v="Pending"/>
    <s v="Yes"/>
  </r>
  <r>
    <x v="12"/>
    <d v="2024-10-15T00:00:00"/>
    <s v="C38785"/>
    <x v="0"/>
    <n v="2"/>
    <n v="180.5"/>
    <s v="179 Main St"/>
    <x v="0"/>
    <x v="4"/>
    <s v="TRK20419991"/>
    <n v="6"/>
    <s v="FREESHIP"/>
    <x v="1"/>
    <n v="361"/>
    <n v="361"/>
    <x v="3"/>
    <s v="Q4"/>
    <x v="1"/>
    <s v="Pending"/>
    <s v="Yes"/>
  </r>
  <r>
    <x v="13"/>
    <d v="2023-08-30T00:00:00"/>
    <s v="C88348"/>
    <x v="5"/>
    <n v="3"/>
    <n v="201.49"/>
    <s v="903 Main St"/>
    <x v="2"/>
    <x v="2"/>
    <s v="TRK81913874"/>
    <n v="4"/>
    <s v="FREESHIP"/>
    <x v="3"/>
    <n v="604.47"/>
    <n v="604.47"/>
    <x v="1"/>
    <s v="Q3"/>
    <x v="0"/>
    <s v="Pending"/>
    <s v="Yes"/>
  </r>
  <r>
    <x v="14"/>
    <d v="2023-03-27T00:00:00"/>
    <s v="C98474"/>
    <x v="2"/>
    <n v="2"/>
    <n v="393.33"/>
    <s v="980 Main St"/>
    <x v="0"/>
    <x v="4"/>
    <s v="TRK79186539"/>
    <n v="3"/>
    <s v="SAVE10"/>
    <x v="0"/>
    <n v="786.66"/>
    <n v="786.66"/>
    <x v="9"/>
    <s v="Q1"/>
    <x v="0"/>
    <s v="Pending"/>
    <s v="Yes"/>
  </r>
  <r>
    <x v="15"/>
    <d v="2023-07-17T00:00:00"/>
    <s v="C39416"/>
    <x v="4"/>
    <n v="1"/>
    <n v="473.96"/>
    <s v="942 Main St"/>
    <x v="4"/>
    <x v="3"/>
    <s v="TRK54930938"/>
    <n v="3"/>
    <m/>
    <x v="4"/>
    <n v="473.96"/>
    <n v="473.96"/>
    <x v="10"/>
    <s v="Q3"/>
    <x v="1"/>
    <s v="Completed"/>
    <s v="No"/>
  </r>
  <r>
    <x v="16"/>
    <d v="2023-01-24T00:00:00"/>
    <s v="C28976"/>
    <x v="4"/>
    <n v="2"/>
    <n v="533.80999999999995"/>
    <s v="914 Main St"/>
    <x v="2"/>
    <x v="4"/>
    <s v="TRK13194259"/>
    <n v="3"/>
    <s v="FREESHIP"/>
    <x v="2"/>
    <n v="1067.6199999999999"/>
    <n v="1067.6199999999999"/>
    <x v="0"/>
    <s v="Q1"/>
    <x v="0"/>
    <s v="Pending"/>
    <s v="Yes"/>
  </r>
  <r>
    <x v="17"/>
    <d v="2024-03-02T00:00:00"/>
    <s v="C60672"/>
    <x v="2"/>
    <n v="1"/>
    <n v="423.4"/>
    <s v="382 Main St"/>
    <x v="0"/>
    <x v="0"/>
    <s v="TRK11972116"/>
    <n v="3"/>
    <m/>
    <x v="1"/>
    <n v="423.4"/>
    <n v="423.4"/>
    <x v="9"/>
    <s v="Q1"/>
    <x v="1"/>
    <s v="Pending"/>
    <s v="No"/>
  </r>
  <r>
    <x v="18"/>
    <d v="2025-03-26T00:00:00"/>
    <s v="C84329"/>
    <x v="6"/>
    <n v="1"/>
    <n v="431.44"/>
    <s v="891 Main St"/>
    <x v="3"/>
    <x v="4"/>
    <s v="TRK65191045"/>
    <n v="3"/>
    <s v="SAVE10"/>
    <x v="3"/>
    <n v="431.44"/>
    <n v="431.44"/>
    <x v="9"/>
    <s v="Q1"/>
    <x v="1"/>
    <s v="Pending"/>
    <s v="Yes"/>
  </r>
  <r>
    <x v="19"/>
    <d v="2023-01-23T00:00:00"/>
    <s v="C14552"/>
    <x v="0"/>
    <n v="5"/>
    <n v="224"/>
    <s v="273 Main St"/>
    <x v="4"/>
    <x v="2"/>
    <s v="TRK59101365"/>
    <n v="9"/>
    <s v="SAVE10"/>
    <x v="4"/>
    <n v="1120"/>
    <n v="1120"/>
    <x v="0"/>
    <s v="Q1"/>
    <x v="0"/>
    <s v="Pending"/>
    <s v="Yes"/>
  </r>
  <r>
    <x v="20"/>
    <d v="2023-05-08T00:00:00"/>
    <s v="C54829"/>
    <x v="3"/>
    <n v="5"/>
    <n v="62.51"/>
    <s v="587 Main St"/>
    <x v="4"/>
    <x v="4"/>
    <s v="TRK16718651"/>
    <n v="9"/>
    <s v="WINTER15"/>
    <x v="0"/>
    <n v="312.55"/>
    <n v="312.55"/>
    <x v="4"/>
    <s v="Q2"/>
    <x v="1"/>
    <s v="Pending"/>
    <s v="Yes"/>
  </r>
  <r>
    <x v="21"/>
    <d v="2024-11-17T00:00:00"/>
    <s v="C99023"/>
    <x v="0"/>
    <n v="4"/>
    <n v="342.95"/>
    <s v="569 Main St"/>
    <x v="4"/>
    <x v="3"/>
    <s v="TRK52646983"/>
    <n v="6"/>
    <m/>
    <x v="4"/>
    <n v="1371.8"/>
    <n v="1371.8"/>
    <x v="7"/>
    <s v="Q4"/>
    <x v="0"/>
    <s v="Completed"/>
    <s v="No"/>
  </r>
  <r>
    <x v="22"/>
    <d v="2023-01-29T00:00:00"/>
    <s v="C34416"/>
    <x v="0"/>
    <n v="2"/>
    <n v="49.62"/>
    <s v="633 Main St"/>
    <x v="1"/>
    <x v="4"/>
    <s v="TRK75937350"/>
    <n v="2"/>
    <s v="SAVE10"/>
    <x v="4"/>
    <n v="99.24"/>
    <n v="99.24"/>
    <x v="0"/>
    <s v="Q1"/>
    <x v="2"/>
    <s v="Pending"/>
    <s v="Yes"/>
  </r>
  <r>
    <x v="23"/>
    <d v="2025-04-09T00:00:00"/>
    <s v="C42372"/>
    <x v="1"/>
    <n v="4"/>
    <n v="273.25"/>
    <s v="755 Main St"/>
    <x v="0"/>
    <x v="1"/>
    <s v="TRK36168083"/>
    <n v="5"/>
    <s v="FREESHIP"/>
    <x v="1"/>
    <n v="1093"/>
    <n v="1093"/>
    <x v="6"/>
    <s v="Q2"/>
    <x v="0"/>
    <s v="Pending"/>
    <s v="Yes"/>
  </r>
  <r>
    <x v="24"/>
    <d v="2024-10-30T00:00:00"/>
    <s v="C17470"/>
    <x v="5"/>
    <n v="2"/>
    <n v="230.95"/>
    <s v="956 Main St"/>
    <x v="1"/>
    <x v="3"/>
    <s v="TRK28775057"/>
    <n v="3"/>
    <s v="WINTER15"/>
    <x v="1"/>
    <n v="461.9"/>
    <n v="461.9"/>
    <x v="3"/>
    <s v="Q4"/>
    <x v="1"/>
    <s v="Completed"/>
    <s v="Yes"/>
  </r>
  <r>
    <x v="25"/>
    <d v="2024-07-24T00:00:00"/>
    <s v="C42577"/>
    <x v="0"/>
    <n v="1"/>
    <n v="399.98"/>
    <s v="709 Main St"/>
    <x v="0"/>
    <x v="3"/>
    <s v="TRK69423327"/>
    <n v="3"/>
    <s v="WINTER15"/>
    <x v="2"/>
    <n v="399.98"/>
    <n v="399.98"/>
    <x v="10"/>
    <s v="Q3"/>
    <x v="1"/>
    <s v="Completed"/>
    <s v="Yes"/>
  </r>
  <r>
    <x v="26"/>
    <d v="2024-03-06T00:00:00"/>
    <s v="C21944"/>
    <x v="5"/>
    <n v="5"/>
    <n v="59.55"/>
    <s v="296 Main St"/>
    <x v="1"/>
    <x v="3"/>
    <s v="TRK80276812"/>
    <n v="6"/>
    <m/>
    <x v="1"/>
    <n v="297.75"/>
    <n v="297.75"/>
    <x v="9"/>
    <s v="Q1"/>
    <x v="1"/>
    <s v="Completed"/>
    <s v="No"/>
  </r>
  <r>
    <x v="27"/>
    <d v="2024-02-22T00:00:00"/>
    <s v="C97593"/>
    <x v="4"/>
    <n v="1"/>
    <n v="472.74"/>
    <s v="881 Main St"/>
    <x v="1"/>
    <x v="0"/>
    <s v="TRK89117573"/>
    <n v="6"/>
    <s v="WINTER15"/>
    <x v="4"/>
    <n v="472.74"/>
    <n v="472.74"/>
    <x v="2"/>
    <s v="Q1"/>
    <x v="1"/>
    <s v="Pending"/>
    <s v="Yes"/>
  </r>
  <r>
    <x v="28"/>
    <d v="2023-11-21T00:00:00"/>
    <s v="C59823"/>
    <x v="1"/>
    <n v="4"/>
    <n v="160.07"/>
    <s v="568 Main St"/>
    <x v="1"/>
    <x v="4"/>
    <s v="TRK65895539"/>
    <n v="5"/>
    <m/>
    <x v="2"/>
    <n v="640.28"/>
    <n v="640.28"/>
    <x v="7"/>
    <s v="Q4"/>
    <x v="0"/>
    <s v="Pending"/>
    <s v="No"/>
  </r>
  <r>
    <x v="29"/>
    <d v="2024-09-20T00:00:00"/>
    <s v="C33260"/>
    <x v="6"/>
    <n v="3"/>
    <n v="423.53"/>
    <s v="930 Main St"/>
    <x v="2"/>
    <x v="3"/>
    <s v="TRK59744090"/>
    <n v="6"/>
    <s v="SAVE10"/>
    <x v="1"/>
    <n v="1270.5899999999999"/>
    <n v="1270.5899999999999"/>
    <x v="11"/>
    <s v="Q3"/>
    <x v="0"/>
    <s v="Completed"/>
    <s v="Yes"/>
  </r>
  <r>
    <x v="30"/>
    <d v="2025-03-22T00:00:00"/>
    <s v="C44267"/>
    <x v="0"/>
    <n v="2"/>
    <n v="426.7"/>
    <s v="895 Main St"/>
    <x v="1"/>
    <x v="4"/>
    <s v="TRK54751444"/>
    <n v="5"/>
    <s v="SAVE10"/>
    <x v="1"/>
    <n v="853.4"/>
    <n v="853.4"/>
    <x v="9"/>
    <s v="Q1"/>
    <x v="0"/>
    <s v="Pending"/>
    <s v="Yes"/>
  </r>
  <r>
    <x v="31"/>
    <d v="2023-06-30T00:00:00"/>
    <s v="C26445"/>
    <x v="3"/>
    <n v="3"/>
    <n v="500.08"/>
    <s v="996 Main St"/>
    <x v="0"/>
    <x v="2"/>
    <s v="TRK31229981"/>
    <n v="6"/>
    <m/>
    <x v="3"/>
    <n v="1500.24"/>
    <n v="1500.24"/>
    <x v="5"/>
    <s v="Q2"/>
    <x v="0"/>
    <s v="Pending"/>
    <s v="No"/>
  </r>
  <r>
    <x v="32"/>
    <d v="2023-05-01T00:00:00"/>
    <s v="C12388"/>
    <x v="2"/>
    <n v="5"/>
    <n v="536.72"/>
    <s v="830 Main St"/>
    <x v="4"/>
    <x v="3"/>
    <s v="TRK99261395"/>
    <n v="10"/>
    <m/>
    <x v="2"/>
    <n v="2683.6"/>
    <n v="2683.6000000000004"/>
    <x v="4"/>
    <s v="Q2"/>
    <x v="0"/>
    <s v="Completed"/>
    <s v="No"/>
  </r>
  <r>
    <x v="33"/>
    <d v="2023-06-05T00:00:00"/>
    <s v="C52184"/>
    <x v="3"/>
    <n v="1"/>
    <n v="162.77000000000001"/>
    <s v="912 Main St"/>
    <x v="1"/>
    <x v="1"/>
    <s v="TRK73312471"/>
    <n v="4"/>
    <s v="WINTER15"/>
    <x v="3"/>
    <n v="162.77000000000001"/>
    <n v="162.77000000000001"/>
    <x v="5"/>
    <s v="Q2"/>
    <x v="1"/>
    <s v="Pending"/>
    <s v="Yes"/>
  </r>
  <r>
    <x v="34"/>
    <d v="2023-01-07T00:00:00"/>
    <s v="C67195"/>
    <x v="3"/>
    <n v="4"/>
    <n v="576.52"/>
    <s v="926 Main St"/>
    <x v="2"/>
    <x v="4"/>
    <s v="TRK55467915"/>
    <n v="5"/>
    <s v="WINTER15"/>
    <x v="3"/>
    <n v="2306.08"/>
    <n v="2306.08"/>
    <x v="0"/>
    <s v="Q1"/>
    <x v="0"/>
    <s v="Pending"/>
    <s v="Yes"/>
  </r>
  <r>
    <x v="35"/>
    <d v="2024-12-07T00:00:00"/>
    <s v="C50304"/>
    <x v="0"/>
    <n v="2"/>
    <n v="465.15"/>
    <s v="128 Main St"/>
    <x v="1"/>
    <x v="0"/>
    <s v="TRK46850888"/>
    <n v="2"/>
    <s v="SAVE10"/>
    <x v="3"/>
    <n v="930.3"/>
    <n v="930.3"/>
    <x v="8"/>
    <s v="Q4"/>
    <x v="0"/>
    <s v="Pending"/>
    <s v="Yes"/>
  </r>
  <r>
    <x v="36"/>
    <d v="2025-05-08T00:00:00"/>
    <s v="C59337"/>
    <x v="5"/>
    <n v="2"/>
    <n v="534.42999999999995"/>
    <s v="465 Main St"/>
    <x v="0"/>
    <x v="4"/>
    <s v="TRK50961250"/>
    <n v="5"/>
    <m/>
    <x v="3"/>
    <n v="1068.8599999999999"/>
    <n v="1068.8599999999999"/>
    <x v="4"/>
    <s v="Q2"/>
    <x v="0"/>
    <s v="Pending"/>
    <s v="No"/>
  </r>
  <r>
    <x v="37"/>
    <d v="2024-10-14T00:00:00"/>
    <s v="C10054"/>
    <x v="5"/>
    <n v="2"/>
    <n v="76.739999999999995"/>
    <s v="409 Main St"/>
    <x v="4"/>
    <x v="2"/>
    <s v="TRK94005261"/>
    <n v="7"/>
    <s v="SAVE10"/>
    <x v="0"/>
    <n v="153.47999999999999"/>
    <n v="153.47999999999999"/>
    <x v="3"/>
    <s v="Q4"/>
    <x v="1"/>
    <s v="Pending"/>
    <s v="Yes"/>
  </r>
  <r>
    <x v="38"/>
    <d v="2024-12-19T00:00:00"/>
    <s v="C15924"/>
    <x v="5"/>
    <n v="1"/>
    <n v="245.89"/>
    <s v="549 Main St"/>
    <x v="0"/>
    <x v="3"/>
    <s v="TRK14835975"/>
    <n v="3"/>
    <s v="SAVE10"/>
    <x v="4"/>
    <n v="245.89"/>
    <n v="245.89"/>
    <x v="8"/>
    <s v="Q4"/>
    <x v="1"/>
    <s v="Completed"/>
    <s v="Yes"/>
  </r>
  <r>
    <x v="39"/>
    <d v="2025-02-27T00:00:00"/>
    <s v="C96664"/>
    <x v="4"/>
    <n v="3"/>
    <n v="256.45999999999998"/>
    <s v="666 Main St"/>
    <x v="2"/>
    <x v="3"/>
    <s v="TRK85508960"/>
    <n v="4"/>
    <s v="SAVE10"/>
    <x v="1"/>
    <n v="769.37999999999988"/>
    <n v="769.37999999999988"/>
    <x v="2"/>
    <s v="Q1"/>
    <x v="0"/>
    <s v="Completed"/>
    <s v="Yes"/>
  </r>
  <r>
    <x v="40"/>
    <d v="2023-08-20T00:00:00"/>
    <s v="C84766"/>
    <x v="6"/>
    <n v="2"/>
    <n v="344.02"/>
    <s v="267 Main St"/>
    <x v="1"/>
    <x v="3"/>
    <s v="TRK78967923"/>
    <n v="4"/>
    <s v="FREESHIP"/>
    <x v="0"/>
    <n v="688.04"/>
    <n v="688.04"/>
    <x v="1"/>
    <s v="Q3"/>
    <x v="0"/>
    <s v="Completed"/>
    <s v="Yes"/>
  </r>
  <r>
    <x v="41"/>
    <d v="2023-12-05T00:00:00"/>
    <s v="C20212"/>
    <x v="0"/>
    <n v="3"/>
    <n v="611.45000000000005"/>
    <s v="657 Main St"/>
    <x v="3"/>
    <x v="4"/>
    <s v="TRK69733327"/>
    <n v="4"/>
    <s v="FREESHIP"/>
    <x v="0"/>
    <n v="1834.35"/>
    <n v="1834.3500000000001"/>
    <x v="8"/>
    <s v="Q4"/>
    <x v="0"/>
    <s v="Pending"/>
    <s v="Yes"/>
  </r>
  <r>
    <x v="42"/>
    <d v="2024-05-06T00:00:00"/>
    <s v="C28712"/>
    <x v="4"/>
    <n v="2"/>
    <n v="151.66"/>
    <s v="980 Main St"/>
    <x v="4"/>
    <x v="1"/>
    <s v="TRK40772558"/>
    <n v="6"/>
    <m/>
    <x v="0"/>
    <n v="303.32"/>
    <n v="303.32"/>
    <x v="4"/>
    <s v="Q2"/>
    <x v="1"/>
    <s v="Pending"/>
    <s v="No"/>
  </r>
  <r>
    <x v="43"/>
    <d v="2023-12-14T00:00:00"/>
    <s v="C60572"/>
    <x v="3"/>
    <n v="3"/>
    <n v="499.21"/>
    <s v="871 Main St"/>
    <x v="1"/>
    <x v="1"/>
    <s v="TRK20351666"/>
    <n v="8"/>
    <m/>
    <x v="0"/>
    <n v="1497.63"/>
    <n v="1497.6299999999999"/>
    <x v="8"/>
    <s v="Q4"/>
    <x v="0"/>
    <s v="Pending"/>
    <s v="No"/>
  </r>
  <r>
    <x v="44"/>
    <d v="2025-04-21T00:00:00"/>
    <s v="C73225"/>
    <x v="1"/>
    <n v="2"/>
    <n v="550.17999999999995"/>
    <s v="996 Main St"/>
    <x v="3"/>
    <x v="2"/>
    <s v="TRK73848522"/>
    <n v="3"/>
    <s v="FREESHIP"/>
    <x v="1"/>
    <n v="1100.3599999999999"/>
    <n v="1100.3599999999999"/>
    <x v="6"/>
    <s v="Q2"/>
    <x v="0"/>
    <s v="Pending"/>
    <s v="Yes"/>
  </r>
  <r>
    <x v="45"/>
    <d v="2024-02-10T00:00:00"/>
    <s v="C17388"/>
    <x v="3"/>
    <n v="1"/>
    <n v="317.25"/>
    <s v="157 Main St"/>
    <x v="0"/>
    <x v="2"/>
    <s v="TRK47077395"/>
    <n v="1"/>
    <s v="SAVE10"/>
    <x v="3"/>
    <n v="317.25"/>
    <n v="317.25"/>
    <x v="2"/>
    <s v="Q1"/>
    <x v="1"/>
    <s v="Pending"/>
    <s v="Yes"/>
  </r>
  <r>
    <x v="46"/>
    <d v="2024-06-26T00:00:00"/>
    <s v="C43212"/>
    <x v="0"/>
    <n v="4"/>
    <n v="550.14"/>
    <s v="223 Main St"/>
    <x v="0"/>
    <x v="4"/>
    <s v="TRK25100762"/>
    <n v="4"/>
    <s v="FREESHIP"/>
    <x v="0"/>
    <n v="2200.56"/>
    <n v="2200.56"/>
    <x v="5"/>
    <s v="Q2"/>
    <x v="0"/>
    <s v="Pending"/>
    <s v="Yes"/>
  </r>
  <r>
    <x v="47"/>
    <d v="2023-07-19T00:00:00"/>
    <s v="C38134"/>
    <x v="6"/>
    <n v="2"/>
    <n v="209.94"/>
    <s v="323 Main St"/>
    <x v="2"/>
    <x v="2"/>
    <s v="TRK42450754"/>
    <n v="3"/>
    <s v="FREESHIP"/>
    <x v="2"/>
    <n v="419.88"/>
    <n v="419.88"/>
    <x v="10"/>
    <s v="Q3"/>
    <x v="1"/>
    <s v="Pending"/>
    <s v="Yes"/>
  </r>
  <r>
    <x v="48"/>
    <d v="2023-08-26T00:00:00"/>
    <s v="C12408"/>
    <x v="0"/>
    <n v="2"/>
    <n v="80.77"/>
    <s v="464 Main St"/>
    <x v="0"/>
    <x v="0"/>
    <s v="TRK38938858"/>
    <n v="4"/>
    <m/>
    <x v="4"/>
    <n v="161.54"/>
    <n v="161.54"/>
    <x v="1"/>
    <s v="Q3"/>
    <x v="1"/>
    <s v="Pending"/>
    <s v="No"/>
  </r>
  <r>
    <x v="49"/>
    <d v="2023-10-07T00:00:00"/>
    <s v="C11985"/>
    <x v="4"/>
    <n v="1"/>
    <n v="30.44"/>
    <s v="633 Main St"/>
    <x v="2"/>
    <x v="0"/>
    <s v="TRK53272402"/>
    <n v="1"/>
    <s v="SAVE10"/>
    <x v="2"/>
    <n v="30.44"/>
    <n v="30.44"/>
    <x v="3"/>
    <s v="Q4"/>
    <x v="2"/>
    <s v="Pending"/>
    <s v="Yes"/>
  </r>
  <r>
    <x v="50"/>
    <d v="2023-07-31T00:00:00"/>
    <s v="C96494"/>
    <x v="2"/>
    <n v="1"/>
    <n v="179.22"/>
    <s v="446 Main St"/>
    <x v="1"/>
    <x v="1"/>
    <s v="TRK14675049"/>
    <n v="6"/>
    <s v="FREESHIP"/>
    <x v="0"/>
    <n v="179.22"/>
    <n v="179.22"/>
    <x v="10"/>
    <s v="Q3"/>
    <x v="1"/>
    <s v="Pending"/>
    <s v="Yes"/>
  </r>
  <r>
    <x v="51"/>
    <d v="2024-12-30T00:00:00"/>
    <s v="C36778"/>
    <x v="2"/>
    <n v="1"/>
    <n v="388.33"/>
    <s v="434 Main St"/>
    <x v="4"/>
    <x v="2"/>
    <s v="TRK67610289"/>
    <n v="2"/>
    <s v="SAVE10"/>
    <x v="3"/>
    <n v="388.33"/>
    <n v="388.33"/>
    <x v="8"/>
    <s v="Q4"/>
    <x v="1"/>
    <s v="Pending"/>
    <s v="Yes"/>
  </r>
  <r>
    <x v="52"/>
    <d v="2024-09-08T00:00:00"/>
    <s v="C30513"/>
    <x v="2"/>
    <n v="1"/>
    <n v="586.44000000000005"/>
    <s v="232 Main St"/>
    <x v="1"/>
    <x v="2"/>
    <s v="TRK64320429"/>
    <n v="5"/>
    <s v="SAVE10"/>
    <x v="3"/>
    <n v="586.44000000000005"/>
    <n v="586.44000000000005"/>
    <x v="11"/>
    <s v="Q3"/>
    <x v="0"/>
    <s v="Pending"/>
    <s v="Yes"/>
  </r>
  <r>
    <x v="53"/>
    <d v="2024-05-18T00:00:00"/>
    <s v="C67551"/>
    <x v="1"/>
    <n v="4"/>
    <n v="488.78"/>
    <s v="512 Main St"/>
    <x v="1"/>
    <x v="2"/>
    <s v="TRK94992552"/>
    <n v="5"/>
    <s v="FREESHIP"/>
    <x v="4"/>
    <n v="1955.12"/>
    <n v="1955.12"/>
    <x v="4"/>
    <s v="Q2"/>
    <x v="0"/>
    <s v="Pending"/>
    <s v="Yes"/>
  </r>
  <r>
    <x v="54"/>
    <d v="2025-03-27T00:00:00"/>
    <s v="C48120"/>
    <x v="3"/>
    <n v="1"/>
    <n v="280.25"/>
    <s v="623 Main St"/>
    <x v="1"/>
    <x v="4"/>
    <s v="TRK11014449"/>
    <n v="5"/>
    <s v="WINTER15"/>
    <x v="2"/>
    <n v="280.25"/>
    <n v="280.25"/>
    <x v="9"/>
    <s v="Q1"/>
    <x v="1"/>
    <s v="Pending"/>
    <s v="Yes"/>
  </r>
  <r>
    <x v="55"/>
    <d v="2025-06-24T00:00:00"/>
    <s v="C95984"/>
    <x v="4"/>
    <n v="3"/>
    <n v="344.4"/>
    <s v="565 Main St"/>
    <x v="1"/>
    <x v="1"/>
    <s v="TRK67434829"/>
    <n v="3"/>
    <m/>
    <x v="3"/>
    <n v="1033.2"/>
    <n v="1033.1999999999998"/>
    <x v="5"/>
    <s v="Q2"/>
    <x v="0"/>
    <s v="Pending"/>
    <s v="No"/>
  </r>
  <r>
    <x v="56"/>
    <d v="2023-05-21T00:00:00"/>
    <s v="C54298"/>
    <x v="2"/>
    <n v="3"/>
    <n v="479.21"/>
    <s v="566 Main St"/>
    <x v="4"/>
    <x v="1"/>
    <s v="TRK62902341"/>
    <n v="5"/>
    <s v="WINTER15"/>
    <x v="1"/>
    <n v="1437.63"/>
    <n v="1437.6299999999999"/>
    <x v="4"/>
    <s v="Q2"/>
    <x v="0"/>
    <s v="Pending"/>
    <s v="Yes"/>
  </r>
  <r>
    <x v="57"/>
    <d v="2023-01-22T00:00:00"/>
    <s v="C88036"/>
    <x v="4"/>
    <n v="5"/>
    <n v="314.27"/>
    <s v="842 Main St"/>
    <x v="4"/>
    <x v="2"/>
    <s v="TRK52470128"/>
    <n v="6"/>
    <s v="SAVE10"/>
    <x v="0"/>
    <n v="1571.35"/>
    <n v="1571.35"/>
    <x v="0"/>
    <s v="Q1"/>
    <x v="0"/>
    <s v="Pending"/>
    <s v="Yes"/>
  </r>
  <r>
    <x v="58"/>
    <d v="2023-01-15T00:00:00"/>
    <s v="C60190"/>
    <x v="1"/>
    <n v="4"/>
    <n v="474.69"/>
    <s v="202 Main St"/>
    <x v="3"/>
    <x v="1"/>
    <s v="TRK70857868"/>
    <n v="6"/>
    <s v="SAVE10"/>
    <x v="4"/>
    <n v="1898.76"/>
    <n v="1898.76"/>
    <x v="0"/>
    <s v="Q1"/>
    <x v="0"/>
    <s v="Pending"/>
    <s v="Yes"/>
  </r>
  <r>
    <x v="59"/>
    <d v="2024-09-11T00:00:00"/>
    <s v="C97603"/>
    <x v="3"/>
    <n v="4"/>
    <n v="593.27"/>
    <s v="811 Main St"/>
    <x v="1"/>
    <x v="0"/>
    <s v="TRK47055028"/>
    <n v="5"/>
    <m/>
    <x v="3"/>
    <n v="2373.08"/>
    <n v="2373.08"/>
    <x v="11"/>
    <s v="Q3"/>
    <x v="0"/>
    <s v="Pending"/>
    <s v="No"/>
  </r>
  <r>
    <x v="60"/>
    <d v="2024-08-21T00:00:00"/>
    <s v="C39256"/>
    <x v="6"/>
    <n v="1"/>
    <n v="417.1"/>
    <s v="634 Main St"/>
    <x v="0"/>
    <x v="2"/>
    <s v="TRK23412025"/>
    <n v="3"/>
    <s v="FREESHIP"/>
    <x v="1"/>
    <n v="417.1"/>
    <n v="417.1"/>
    <x v="1"/>
    <s v="Q3"/>
    <x v="1"/>
    <s v="Pending"/>
    <s v="Yes"/>
  </r>
  <r>
    <x v="61"/>
    <d v="2024-03-24T00:00:00"/>
    <s v="C61618"/>
    <x v="6"/>
    <n v="4"/>
    <n v="122.2"/>
    <s v="104 Main St"/>
    <x v="4"/>
    <x v="3"/>
    <s v="TRK43458485"/>
    <n v="7"/>
    <s v="FREESHIP"/>
    <x v="3"/>
    <n v="488.8"/>
    <n v="488.8"/>
    <x v="9"/>
    <s v="Q1"/>
    <x v="1"/>
    <s v="Completed"/>
    <s v="Yes"/>
  </r>
  <r>
    <x v="62"/>
    <d v="2023-08-22T00:00:00"/>
    <s v="C36497"/>
    <x v="6"/>
    <n v="2"/>
    <n v="43.15"/>
    <s v="691 Main St"/>
    <x v="0"/>
    <x v="4"/>
    <s v="TRK12102911"/>
    <n v="3"/>
    <s v="WINTER15"/>
    <x v="2"/>
    <n v="86.3"/>
    <n v="86.3"/>
    <x v="1"/>
    <s v="Q3"/>
    <x v="2"/>
    <s v="Pending"/>
    <s v="Yes"/>
  </r>
  <r>
    <x v="63"/>
    <d v="2025-02-02T00:00:00"/>
    <s v="C96695"/>
    <x v="3"/>
    <n v="1"/>
    <n v="564.86"/>
    <s v="813 Main St"/>
    <x v="0"/>
    <x v="0"/>
    <s v="TRK64283851"/>
    <n v="6"/>
    <s v="WINTER15"/>
    <x v="1"/>
    <n v="564.86"/>
    <n v="564.86"/>
    <x v="2"/>
    <s v="Q1"/>
    <x v="0"/>
    <s v="Pending"/>
    <s v="Yes"/>
  </r>
  <r>
    <x v="64"/>
    <d v="2025-06-25T00:00:00"/>
    <s v="C49720"/>
    <x v="4"/>
    <n v="3"/>
    <n v="130.61000000000001"/>
    <s v="752 Main St"/>
    <x v="0"/>
    <x v="1"/>
    <s v="TRK55785217"/>
    <n v="4"/>
    <s v="FREESHIP"/>
    <x v="3"/>
    <n v="391.83"/>
    <n v="391.83000000000004"/>
    <x v="5"/>
    <s v="Q2"/>
    <x v="1"/>
    <s v="Pending"/>
    <s v="Yes"/>
  </r>
  <r>
    <x v="65"/>
    <d v="2023-12-30T00:00:00"/>
    <s v="C97735"/>
    <x v="0"/>
    <n v="5"/>
    <n v="81.7"/>
    <s v="385 Main St"/>
    <x v="2"/>
    <x v="3"/>
    <s v="TRK13743703"/>
    <n v="6"/>
    <m/>
    <x v="0"/>
    <n v="408.5"/>
    <n v="408.5"/>
    <x v="8"/>
    <s v="Q4"/>
    <x v="1"/>
    <s v="Completed"/>
    <s v="No"/>
  </r>
  <r>
    <x v="66"/>
    <d v="2024-11-15T00:00:00"/>
    <s v="C18104"/>
    <x v="3"/>
    <n v="5"/>
    <n v="127.18"/>
    <s v="715 Main St"/>
    <x v="4"/>
    <x v="1"/>
    <s v="TRK15488568"/>
    <n v="9"/>
    <s v="SAVE10"/>
    <x v="1"/>
    <n v="635.90000000000009"/>
    <n v="635.90000000000009"/>
    <x v="7"/>
    <s v="Q4"/>
    <x v="0"/>
    <s v="Pending"/>
    <s v="Yes"/>
  </r>
  <r>
    <x v="67"/>
    <d v="2024-12-09T00:00:00"/>
    <s v="C25587"/>
    <x v="4"/>
    <n v="4"/>
    <n v="12.1"/>
    <s v="440 Main St"/>
    <x v="0"/>
    <x v="1"/>
    <s v="TRK55105323"/>
    <n v="8"/>
    <m/>
    <x v="4"/>
    <n v="48.4"/>
    <n v="48.4"/>
    <x v="8"/>
    <s v="Q4"/>
    <x v="2"/>
    <s v="Pending"/>
    <s v="No"/>
  </r>
  <r>
    <x v="68"/>
    <d v="2023-12-11T00:00:00"/>
    <s v="C41598"/>
    <x v="3"/>
    <n v="3"/>
    <n v="490.92"/>
    <s v="709 Main St"/>
    <x v="2"/>
    <x v="4"/>
    <s v="TRK81665940"/>
    <n v="5"/>
    <s v="FREESHIP"/>
    <x v="2"/>
    <n v="1472.76"/>
    <n v="1472.76"/>
    <x v="8"/>
    <s v="Q4"/>
    <x v="0"/>
    <s v="Pending"/>
    <s v="Yes"/>
  </r>
  <r>
    <x v="69"/>
    <d v="2023-05-11T00:00:00"/>
    <s v="C43338"/>
    <x v="0"/>
    <n v="3"/>
    <n v="478.65"/>
    <s v="552 Main St"/>
    <x v="1"/>
    <x v="0"/>
    <s v="TRK35241775"/>
    <n v="4"/>
    <m/>
    <x v="1"/>
    <n v="1435.95"/>
    <n v="1435.9499999999998"/>
    <x v="4"/>
    <s v="Q2"/>
    <x v="0"/>
    <s v="Pending"/>
    <s v="No"/>
  </r>
  <r>
    <x v="70"/>
    <d v="2023-05-26T00:00:00"/>
    <s v="C25123"/>
    <x v="6"/>
    <n v="1"/>
    <n v="629.21"/>
    <s v="384 Main St"/>
    <x v="3"/>
    <x v="4"/>
    <s v="TRK27812282"/>
    <n v="2"/>
    <s v="FREESHIP"/>
    <x v="0"/>
    <n v="629.21"/>
    <n v="629.21"/>
    <x v="4"/>
    <s v="Q2"/>
    <x v="0"/>
    <s v="Pending"/>
    <s v="Yes"/>
  </r>
  <r>
    <x v="71"/>
    <d v="2025-06-10T00:00:00"/>
    <s v="C37454"/>
    <x v="0"/>
    <n v="3"/>
    <n v="434.45"/>
    <s v="923 Main St"/>
    <x v="2"/>
    <x v="4"/>
    <s v="TRK28252730"/>
    <n v="4"/>
    <m/>
    <x v="1"/>
    <n v="1303.3499999999999"/>
    <n v="1303.3499999999999"/>
    <x v="5"/>
    <s v="Q2"/>
    <x v="0"/>
    <s v="Pending"/>
    <s v="No"/>
  </r>
  <r>
    <x v="72"/>
    <d v="2024-12-22T00:00:00"/>
    <s v="C19451"/>
    <x v="2"/>
    <n v="4"/>
    <n v="589.44000000000005"/>
    <s v="942 Main St"/>
    <x v="3"/>
    <x v="2"/>
    <s v="TRK87787793"/>
    <n v="5"/>
    <m/>
    <x v="3"/>
    <n v="2357.7600000000002"/>
    <n v="2357.7600000000002"/>
    <x v="8"/>
    <s v="Q4"/>
    <x v="0"/>
    <s v="Pending"/>
    <s v="No"/>
  </r>
  <r>
    <x v="73"/>
    <d v="2023-05-03T00:00:00"/>
    <s v="C17269"/>
    <x v="0"/>
    <n v="4"/>
    <n v="433.45"/>
    <s v="129 Main St"/>
    <x v="3"/>
    <x v="1"/>
    <s v="TRK79608389"/>
    <n v="4"/>
    <m/>
    <x v="3"/>
    <n v="1733.8"/>
    <n v="1733.8"/>
    <x v="4"/>
    <s v="Q2"/>
    <x v="0"/>
    <s v="Pending"/>
    <s v="No"/>
  </r>
  <r>
    <x v="74"/>
    <d v="2023-06-24T00:00:00"/>
    <s v="C25382"/>
    <x v="1"/>
    <n v="5"/>
    <n v="90.87"/>
    <s v="622 Main St"/>
    <x v="4"/>
    <x v="4"/>
    <s v="TRK64691287"/>
    <n v="5"/>
    <m/>
    <x v="0"/>
    <n v="454.35"/>
    <n v="454.35"/>
    <x v="5"/>
    <s v="Q2"/>
    <x v="1"/>
    <s v="Pending"/>
    <s v="No"/>
  </r>
  <r>
    <x v="75"/>
    <d v="2023-09-26T00:00:00"/>
    <s v="C80651"/>
    <x v="2"/>
    <n v="3"/>
    <n v="398.17"/>
    <s v="917 Main St"/>
    <x v="0"/>
    <x v="3"/>
    <s v="TRK14846720"/>
    <n v="5"/>
    <s v="SAVE10"/>
    <x v="2"/>
    <n v="1194.51"/>
    <n v="1194.51"/>
    <x v="11"/>
    <s v="Q3"/>
    <x v="0"/>
    <s v="Completed"/>
    <s v="Yes"/>
  </r>
  <r>
    <x v="76"/>
    <d v="2024-03-31T00:00:00"/>
    <s v="C58638"/>
    <x v="5"/>
    <n v="4"/>
    <n v="382.88"/>
    <s v="239 Main St"/>
    <x v="4"/>
    <x v="1"/>
    <s v="TRK38224871"/>
    <n v="6"/>
    <s v="WINTER15"/>
    <x v="2"/>
    <n v="1531.52"/>
    <n v="1531.52"/>
    <x v="9"/>
    <s v="Q1"/>
    <x v="0"/>
    <s v="Pending"/>
    <s v="Yes"/>
  </r>
  <r>
    <x v="77"/>
    <d v="2024-05-24T00:00:00"/>
    <s v="C50121"/>
    <x v="1"/>
    <n v="1"/>
    <n v="583.17999999999995"/>
    <s v="348 Main St"/>
    <x v="2"/>
    <x v="2"/>
    <s v="TRK79810059"/>
    <n v="5"/>
    <m/>
    <x v="4"/>
    <n v="583.17999999999995"/>
    <n v="583.17999999999995"/>
    <x v="4"/>
    <s v="Q2"/>
    <x v="0"/>
    <s v="Pending"/>
    <s v="No"/>
  </r>
  <r>
    <x v="78"/>
    <d v="2024-08-06T00:00:00"/>
    <s v="C32029"/>
    <x v="4"/>
    <n v="4"/>
    <n v="175.36"/>
    <s v="146 Main St"/>
    <x v="0"/>
    <x v="3"/>
    <s v="TRK68535532"/>
    <n v="4"/>
    <s v="FREESHIP"/>
    <x v="0"/>
    <n v="701.44"/>
    <n v="701.44"/>
    <x v="1"/>
    <s v="Q3"/>
    <x v="0"/>
    <s v="Completed"/>
    <s v="Yes"/>
  </r>
  <r>
    <x v="79"/>
    <d v="2025-03-10T00:00:00"/>
    <s v="C76700"/>
    <x v="2"/>
    <n v="2"/>
    <n v="311.91000000000003"/>
    <s v="103 Main St"/>
    <x v="1"/>
    <x v="0"/>
    <s v="TRK13036341"/>
    <n v="2"/>
    <m/>
    <x v="3"/>
    <n v="623.82000000000005"/>
    <n v="623.82000000000005"/>
    <x v="9"/>
    <s v="Q1"/>
    <x v="0"/>
    <s v="Pending"/>
    <s v="No"/>
  </r>
  <r>
    <x v="80"/>
    <d v="2023-06-27T00:00:00"/>
    <s v="C29041"/>
    <x v="1"/>
    <n v="3"/>
    <n v="589.55999999999995"/>
    <s v="591 Main St"/>
    <x v="1"/>
    <x v="2"/>
    <s v="TRK28840655"/>
    <n v="6"/>
    <m/>
    <x v="3"/>
    <n v="1768.68"/>
    <n v="1768.6799999999998"/>
    <x v="5"/>
    <s v="Q2"/>
    <x v="0"/>
    <s v="Pending"/>
    <s v="No"/>
  </r>
  <r>
    <x v="81"/>
    <d v="2023-06-08T00:00:00"/>
    <s v="C29314"/>
    <x v="0"/>
    <n v="2"/>
    <n v="394.3"/>
    <s v="496 Main St"/>
    <x v="4"/>
    <x v="0"/>
    <s v="TRK59876213"/>
    <n v="6"/>
    <s v="FREESHIP"/>
    <x v="2"/>
    <n v="788.6"/>
    <n v="788.6"/>
    <x v="5"/>
    <s v="Q2"/>
    <x v="0"/>
    <s v="Pending"/>
    <s v="Yes"/>
  </r>
  <r>
    <x v="82"/>
    <d v="2024-01-05T00:00:00"/>
    <s v="C65799"/>
    <x v="2"/>
    <n v="4"/>
    <n v="565.20000000000005"/>
    <s v="971 Main St"/>
    <x v="0"/>
    <x v="0"/>
    <s v="TRK66906607"/>
    <n v="9"/>
    <s v="SAVE10"/>
    <x v="4"/>
    <n v="2260.8000000000002"/>
    <n v="2260.8000000000002"/>
    <x v="0"/>
    <s v="Q1"/>
    <x v="0"/>
    <s v="Pending"/>
    <s v="Yes"/>
  </r>
  <r>
    <x v="83"/>
    <d v="2023-08-22T00:00:00"/>
    <s v="C15681"/>
    <x v="5"/>
    <n v="4"/>
    <n v="540.41"/>
    <s v="989 Main St"/>
    <x v="2"/>
    <x v="1"/>
    <s v="TRK75112172"/>
    <n v="6"/>
    <m/>
    <x v="1"/>
    <n v="2161.64"/>
    <n v="2161.64"/>
    <x v="1"/>
    <s v="Q3"/>
    <x v="0"/>
    <s v="Pending"/>
    <s v="No"/>
  </r>
  <r>
    <x v="84"/>
    <d v="2023-08-28T00:00:00"/>
    <s v="C64160"/>
    <x v="0"/>
    <n v="2"/>
    <n v="165.49"/>
    <s v="967 Main St"/>
    <x v="1"/>
    <x v="0"/>
    <s v="TRK34121529"/>
    <n v="4"/>
    <s v="WINTER15"/>
    <x v="0"/>
    <n v="330.98"/>
    <n v="330.98"/>
    <x v="1"/>
    <s v="Q3"/>
    <x v="1"/>
    <s v="Pending"/>
    <s v="Yes"/>
  </r>
  <r>
    <x v="85"/>
    <d v="2024-09-09T00:00:00"/>
    <s v="C14553"/>
    <x v="2"/>
    <n v="3"/>
    <n v="146.72999999999999"/>
    <s v="768 Main St"/>
    <x v="4"/>
    <x v="3"/>
    <s v="TRK93538334"/>
    <n v="8"/>
    <s v="FREESHIP"/>
    <x v="2"/>
    <n v="440.18999999999988"/>
    <n v="440.18999999999994"/>
    <x v="11"/>
    <s v="Q3"/>
    <x v="1"/>
    <s v="Completed"/>
    <s v="Yes"/>
  </r>
  <r>
    <x v="86"/>
    <d v="2024-06-19T00:00:00"/>
    <s v="C88205"/>
    <x v="4"/>
    <n v="5"/>
    <n v="643.03"/>
    <s v="447 Main St"/>
    <x v="1"/>
    <x v="1"/>
    <s v="TRK93504166"/>
    <n v="5"/>
    <s v="FREESHIP"/>
    <x v="1"/>
    <n v="3215.15"/>
    <n v="3215.1499999999996"/>
    <x v="5"/>
    <s v="Q2"/>
    <x v="0"/>
    <s v="Pending"/>
    <s v="Yes"/>
  </r>
  <r>
    <x v="87"/>
    <d v="2024-10-10T00:00:00"/>
    <s v="C91245"/>
    <x v="2"/>
    <n v="3"/>
    <n v="225.11"/>
    <s v="915 Main St"/>
    <x v="4"/>
    <x v="0"/>
    <s v="TRK46976391"/>
    <n v="4"/>
    <s v="SAVE10"/>
    <x v="3"/>
    <n v="675.33"/>
    <n v="675.33"/>
    <x v="3"/>
    <s v="Q4"/>
    <x v="0"/>
    <s v="Pending"/>
    <s v="Yes"/>
  </r>
  <r>
    <x v="88"/>
    <d v="2025-06-05T00:00:00"/>
    <s v="C75439"/>
    <x v="6"/>
    <n v="3"/>
    <n v="114.81"/>
    <s v="318 Main St"/>
    <x v="3"/>
    <x v="1"/>
    <s v="TRK19831653"/>
    <n v="7"/>
    <m/>
    <x v="4"/>
    <n v="344.43"/>
    <n v="344.43"/>
    <x v="5"/>
    <s v="Q2"/>
    <x v="1"/>
    <s v="Pending"/>
    <s v="No"/>
  </r>
  <r>
    <x v="89"/>
    <d v="2025-02-25T00:00:00"/>
    <s v="C17181"/>
    <x v="4"/>
    <n v="5"/>
    <n v="455.33"/>
    <s v="291 Main St"/>
    <x v="2"/>
    <x v="1"/>
    <s v="TRK78912978"/>
    <n v="8"/>
    <s v="FREESHIP"/>
    <x v="4"/>
    <n v="2276.65"/>
    <n v="2276.65"/>
    <x v="2"/>
    <s v="Q1"/>
    <x v="0"/>
    <s v="Pending"/>
    <s v="Yes"/>
  </r>
  <r>
    <x v="90"/>
    <d v="2023-09-18T00:00:00"/>
    <s v="C36540"/>
    <x v="3"/>
    <n v="4"/>
    <n v="182.08"/>
    <s v="611 Main St"/>
    <x v="3"/>
    <x v="3"/>
    <s v="TRK35828122"/>
    <n v="4"/>
    <s v="SAVE10"/>
    <x v="2"/>
    <n v="728.32"/>
    <n v="728.32"/>
    <x v="11"/>
    <s v="Q3"/>
    <x v="0"/>
    <s v="Completed"/>
    <s v="Yes"/>
  </r>
  <r>
    <x v="91"/>
    <d v="2023-03-15T00:00:00"/>
    <s v="C98216"/>
    <x v="5"/>
    <n v="5"/>
    <n v="492.75"/>
    <s v="196 Main St"/>
    <x v="4"/>
    <x v="0"/>
    <s v="TRK40986666"/>
    <n v="6"/>
    <s v="WINTER15"/>
    <x v="1"/>
    <n v="2463.75"/>
    <n v="2463.75"/>
    <x v="9"/>
    <s v="Q1"/>
    <x v="0"/>
    <s v="Pending"/>
    <s v="Yes"/>
  </r>
  <r>
    <x v="92"/>
    <d v="2024-06-10T00:00:00"/>
    <s v="C29568"/>
    <x v="4"/>
    <n v="4"/>
    <n v="48.61"/>
    <s v="203 Main St"/>
    <x v="1"/>
    <x v="0"/>
    <s v="TRK46531075"/>
    <n v="7"/>
    <s v="FREESHIP"/>
    <x v="3"/>
    <n v="194.44"/>
    <n v="194.44"/>
    <x v="5"/>
    <s v="Q2"/>
    <x v="1"/>
    <s v="Pending"/>
    <s v="Yes"/>
  </r>
  <r>
    <x v="93"/>
    <d v="2023-01-14T00:00:00"/>
    <s v="C97262"/>
    <x v="6"/>
    <n v="4"/>
    <n v="431.01"/>
    <s v="837 Main St"/>
    <x v="2"/>
    <x v="2"/>
    <s v="TRK65990229"/>
    <n v="7"/>
    <m/>
    <x v="1"/>
    <n v="1724.04"/>
    <n v="1724.04"/>
    <x v="0"/>
    <s v="Q1"/>
    <x v="0"/>
    <s v="Pending"/>
    <s v="No"/>
  </r>
  <r>
    <x v="94"/>
    <d v="2023-02-11T00:00:00"/>
    <s v="C79821"/>
    <x v="3"/>
    <n v="1"/>
    <n v="531.17999999999995"/>
    <s v="781 Main St"/>
    <x v="3"/>
    <x v="2"/>
    <s v="TRK12780193"/>
    <n v="6"/>
    <s v="WINTER15"/>
    <x v="0"/>
    <n v="531.17999999999995"/>
    <n v="531.17999999999995"/>
    <x v="2"/>
    <s v="Q1"/>
    <x v="0"/>
    <s v="Pending"/>
    <s v="Yes"/>
  </r>
  <r>
    <x v="95"/>
    <d v="2023-03-24T00:00:00"/>
    <s v="C76761"/>
    <x v="4"/>
    <n v="4"/>
    <n v="117.51"/>
    <s v="839 Main St"/>
    <x v="0"/>
    <x v="2"/>
    <s v="TRK60179774"/>
    <n v="7"/>
    <m/>
    <x v="1"/>
    <n v="470.04"/>
    <n v="470.04"/>
    <x v="9"/>
    <s v="Q1"/>
    <x v="1"/>
    <s v="Pending"/>
    <s v="No"/>
  </r>
  <r>
    <x v="96"/>
    <d v="2024-06-01T00:00:00"/>
    <s v="C93007"/>
    <x v="1"/>
    <n v="2"/>
    <n v="232.83"/>
    <s v="103 Main St"/>
    <x v="3"/>
    <x v="3"/>
    <s v="TRK85696091"/>
    <n v="7"/>
    <m/>
    <x v="0"/>
    <n v="465.66"/>
    <n v="465.66"/>
    <x v="5"/>
    <s v="Q2"/>
    <x v="1"/>
    <s v="Completed"/>
    <s v="No"/>
  </r>
  <r>
    <x v="97"/>
    <d v="2025-01-21T00:00:00"/>
    <s v="C15624"/>
    <x v="2"/>
    <n v="5"/>
    <n v="619.52"/>
    <s v="922 Main St"/>
    <x v="0"/>
    <x v="4"/>
    <s v="TRK40621141"/>
    <n v="9"/>
    <m/>
    <x v="2"/>
    <n v="3097.6"/>
    <n v="3097.6"/>
    <x v="0"/>
    <s v="Q1"/>
    <x v="0"/>
    <s v="Pending"/>
    <s v="No"/>
  </r>
  <r>
    <x v="98"/>
    <d v="2023-01-14T00:00:00"/>
    <s v="C70921"/>
    <x v="4"/>
    <n v="2"/>
    <n v="228.54"/>
    <s v="533 Main St"/>
    <x v="0"/>
    <x v="4"/>
    <s v="TRK54983109"/>
    <n v="3"/>
    <m/>
    <x v="2"/>
    <n v="457.08"/>
    <n v="457.08"/>
    <x v="0"/>
    <s v="Q1"/>
    <x v="1"/>
    <s v="Pending"/>
    <s v="No"/>
  </r>
  <r>
    <x v="99"/>
    <d v="2025-04-12T00:00:00"/>
    <s v="C30477"/>
    <x v="4"/>
    <n v="1"/>
    <n v="201.58"/>
    <s v="717 Main St"/>
    <x v="0"/>
    <x v="1"/>
    <s v="TRK51829648"/>
    <n v="2"/>
    <s v="WINTER15"/>
    <x v="2"/>
    <n v="201.58"/>
    <n v="201.58"/>
    <x v="6"/>
    <s v="Q2"/>
    <x v="1"/>
    <s v="Pending"/>
    <s v="Yes"/>
  </r>
  <r>
    <x v="100"/>
    <d v="2023-02-17T00:00:00"/>
    <s v="C74866"/>
    <x v="1"/>
    <n v="3"/>
    <n v="664.79"/>
    <s v="743 Main St"/>
    <x v="1"/>
    <x v="3"/>
    <s v="TRK53783265"/>
    <n v="6"/>
    <m/>
    <x v="3"/>
    <n v="1994.37"/>
    <n v="1994.37"/>
    <x v="2"/>
    <s v="Q1"/>
    <x v="0"/>
    <s v="Completed"/>
    <s v="No"/>
  </r>
  <r>
    <x v="101"/>
    <d v="2023-11-25T00:00:00"/>
    <s v="C15283"/>
    <x v="4"/>
    <n v="1"/>
    <n v="381.02"/>
    <s v="152 Main St"/>
    <x v="4"/>
    <x v="0"/>
    <s v="TRK19286291"/>
    <n v="6"/>
    <m/>
    <x v="4"/>
    <n v="381.02"/>
    <n v="381.02"/>
    <x v="7"/>
    <s v="Q4"/>
    <x v="1"/>
    <s v="Pending"/>
    <s v="No"/>
  </r>
  <r>
    <x v="102"/>
    <d v="2023-03-08T00:00:00"/>
    <s v="C18037"/>
    <x v="5"/>
    <n v="2"/>
    <n v="70.34"/>
    <s v="944 Main St"/>
    <x v="3"/>
    <x v="1"/>
    <s v="TRK47362236"/>
    <n v="3"/>
    <s v="FREESHIP"/>
    <x v="2"/>
    <n v="140.68"/>
    <n v="140.68"/>
    <x v="9"/>
    <s v="Q1"/>
    <x v="1"/>
    <s v="Pending"/>
    <s v="Yes"/>
  </r>
  <r>
    <x v="103"/>
    <d v="2025-01-25T00:00:00"/>
    <s v="C62656"/>
    <x v="1"/>
    <n v="4"/>
    <n v="218.43"/>
    <s v="514 Main St"/>
    <x v="2"/>
    <x v="1"/>
    <s v="TRK86296459"/>
    <n v="9"/>
    <s v="SAVE10"/>
    <x v="2"/>
    <n v="873.72"/>
    <n v="873.72"/>
    <x v="0"/>
    <s v="Q1"/>
    <x v="0"/>
    <s v="Pending"/>
    <s v="Yes"/>
  </r>
  <r>
    <x v="104"/>
    <d v="2024-07-30T00:00:00"/>
    <s v="C65744"/>
    <x v="1"/>
    <n v="1"/>
    <n v="582.04"/>
    <s v="647 Main St"/>
    <x v="3"/>
    <x v="3"/>
    <s v="TRK39906058"/>
    <n v="1"/>
    <s v="FREESHIP"/>
    <x v="2"/>
    <n v="582.04"/>
    <n v="582.04"/>
    <x v="10"/>
    <s v="Q3"/>
    <x v="0"/>
    <s v="Completed"/>
    <s v="Yes"/>
  </r>
  <r>
    <x v="105"/>
    <d v="2024-10-24T00:00:00"/>
    <s v="C72290"/>
    <x v="4"/>
    <n v="3"/>
    <n v="185.4"/>
    <s v="810 Main St"/>
    <x v="3"/>
    <x v="1"/>
    <s v="TRK68792129"/>
    <n v="7"/>
    <m/>
    <x v="3"/>
    <n v="556.20000000000005"/>
    <n v="556.20000000000005"/>
    <x v="3"/>
    <s v="Q4"/>
    <x v="0"/>
    <s v="Pending"/>
    <s v="No"/>
  </r>
  <r>
    <x v="106"/>
    <d v="2023-09-08T00:00:00"/>
    <s v="C73514"/>
    <x v="6"/>
    <n v="3"/>
    <n v="465.05"/>
    <s v="126 Main St"/>
    <x v="2"/>
    <x v="1"/>
    <s v="TRK96777924"/>
    <n v="3"/>
    <s v="SAVE10"/>
    <x v="2"/>
    <n v="1395.15"/>
    <n v="1395.15"/>
    <x v="11"/>
    <s v="Q3"/>
    <x v="0"/>
    <s v="Pending"/>
    <s v="Yes"/>
  </r>
  <r>
    <x v="107"/>
    <d v="2023-03-27T00:00:00"/>
    <s v="C16775"/>
    <x v="4"/>
    <n v="5"/>
    <n v="670.75"/>
    <s v="848 Main St"/>
    <x v="3"/>
    <x v="0"/>
    <s v="TRK34392124"/>
    <n v="8"/>
    <s v="FREESHIP"/>
    <x v="0"/>
    <n v="3353.75"/>
    <n v="3353.75"/>
    <x v="9"/>
    <s v="Q1"/>
    <x v="0"/>
    <s v="Pending"/>
    <s v="Yes"/>
  </r>
  <r>
    <x v="108"/>
    <d v="2024-12-28T00:00:00"/>
    <s v="C33099"/>
    <x v="5"/>
    <n v="5"/>
    <n v="48.38"/>
    <s v="522 Main St"/>
    <x v="3"/>
    <x v="3"/>
    <s v="TRK28522330"/>
    <n v="9"/>
    <s v="WINTER15"/>
    <x v="2"/>
    <n v="241.9"/>
    <n v="241.9"/>
    <x v="8"/>
    <s v="Q4"/>
    <x v="1"/>
    <s v="Completed"/>
    <s v="Yes"/>
  </r>
  <r>
    <x v="109"/>
    <d v="2023-09-17T00:00:00"/>
    <s v="C51157"/>
    <x v="6"/>
    <n v="3"/>
    <n v="592.87"/>
    <s v="131 Main St"/>
    <x v="3"/>
    <x v="0"/>
    <s v="TRK18674578"/>
    <n v="3"/>
    <s v="FREESHIP"/>
    <x v="1"/>
    <n v="1778.61"/>
    <n v="1778.6100000000001"/>
    <x v="11"/>
    <s v="Q3"/>
    <x v="0"/>
    <s v="Pending"/>
    <s v="Yes"/>
  </r>
  <r>
    <x v="110"/>
    <d v="2024-04-21T00:00:00"/>
    <s v="C74562"/>
    <x v="2"/>
    <n v="1"/>
    <n v="220.77"/>
    <s v="388 Main St"/>
    <x v="3"/>
    <x v="4"/>
    <s v="TRK32062079"/>
    <n v="5"/>
    <s v="FREESHIP"/>
    <x v="0"/>
    <n v="220.77"/>
    <n v="220.77"/>
    <x v="6"/>
    <s v="Q2"/>
    <x v="1"/>
    <s v="Pending"/>
    <s v="Yes"/>
  </r>
  <r>
    <x v="111"/>
    <d v="2025-05-07T00:00:00"/>
    <s v="C95271"/>
    <x v="6"/>
    <n v="3"/>
    <n v="309.22000000000003"/>
    <s v="620 Main St"/>
    <x v="1"/>
    <x v="1"/>
    <s v="TRK74904969"/>
    <n v="7"/>
    <s v="FREESHIP"/>
    <x v="4"/>
    <n v="927.66000000000008"/>
    <n v="927.66000000000008"/>
    <x v="4"/>
    <s v="Q2"/>
    <x v="0"/>
    <s v="Pending"/>
    <s v="Yes"/>
  </r>
  <r>
    <x v="112"/>
    <d v="2023-01-01T00:00:00"/>
    <s v="C81366"/>
    <x v="0"/>
    <n v="1"/>
    <n v="410.6"/>
    <s v="423 Main St"/>
    <x v="1"/>
    <x v="1"/>
    <s v="TRK17062206"/>
    <n v="2"/>
    <s v="WINTER15"/>
    <x v="1"/>
    <n v="410.6"/>
    <n v="410.6"/>
    <x v="0"/>
    <s v="Q1"/>
    <x v="1"/>
    <s v="Pending"/>
    <s v="Yes"/>
  </r>
  <r>
    <x v="113"/>
    <d v="2024-01-17T00:00:00"/>
    <s v="C65905"/>
    <x v="5"/>
    <n v="5"/>
    <n v="190.08"/>
    <s v="605 Main St"/>
    <x v="4"/>
    <x v="0"/>
    <s v="TRK73954365"/>
    <n v="9"/>
    <s v="FREESHIP"/>
    <x v="0"/>
    <n v="950.40000000000009"/>
    <n v="950.40000000000009"/>
    <x v="0"/>
    <s v="Q1"/>
    <x v="0"/>
    <s v="Pending"/>
    <s v="Yes"/>
  </r>
  <r>
    <x v="114"/>
    <d v="2025-01-27T00:00:00"/>
    <s v="C77272"/>
    <x v="0"/>
    <n v="5"/>
    <n v="498.48"/>
    <s v="115 Main St"/>
    <x v="1"/>
    <x v="4"/>
    <s v="TRK29708128"/>
    <n v="8"/>
    <s v="SAVE10"/>
    <x v="4"/>
    <n v="2492.4"/>
    <n v="2492.4"/>
    <x v="0"/>
    <s v="Q1"/>
    <x v="0"/>
    <s v="Pending"/>
    <s v="Yes"/>
  </r>
  <r>
    <x v="115"/>
    <d v="2023-11-27T00:00:00"/>
    <s v="C32580"/>
    <x v="1"/>
    <n v="5"/>
    <n v="374.99"/>
    <s v="122 Main St"/>
    <x v="1"/>
    <x v="0"/>
    <s v="TRK23670394"/>
    <n v="9"/>
    <s v="SAVE10"/>
    <x v="3"/>
    <n v="1874.95"/>
    <n v="1874.95"/>
    <x v="7"/>
    <s v="Q4"/>
    <x v="0"/>
    <s v="Pending"/>
    <s v="Yes"/>
  </r>
  <r>
    <x v="116"/>
    <d v="2023-03-19T00:00:00"/>
    <s v="C47761"/>
    <x v="4"/>
    <n v="4"/>
    <n v="291.35000000000002"/>
    <s v="109 Main St"/>
    <x v="2"/>
    <x v="1"/>
    <s v="TRK66669207"/>
    <n v="6"/>
    <s v="WINTER15"/>
    <x v="3"/>
    <n v="1165.4000000000001"/>
    <n v="1165.4000000000001"/>
    <x v="9"/>
    <s v="Q1"/>
    <x v="0"/>
    <s v="Pending"/>
    <s v="Yes"/>
  </r>
  <r>
    <x v="117"/>
    <d v="2023-03-08T00:00:00"/>
    <s v="C49187"/>
    <x v="2"/>
    <n v="1"/>
    <n v="535.5"/>
    <s v="593 Main St"/>
    <x v="3"/>
    <x v="1"/>
    <s v="TRK81888598"/>
    <n v="5"/>
    <s v="WINTER15"/>
    <x v="1"/>
    <n v="535.5"/>
    <n v="535.5"/>
    <x v="9"/>
    <s v="Q1"/>
    <x v="0"/>
    <s v="Pending"/>
    <s v="Yes"/>
  </r>
  <r>
    <x v="118"/>
    <d v="2023-10-09T00:00:00"/>
    <s v="C27898"/>
    <x v="4"/>
    <n v="5"/>
    <n v="502.71"/>
    <s v="807 Main St"/>
    <x v="3"/>
    <x v="0"/>
    <s v="TRK61957665"/>
    <n v="7"/>
    <s v="FREESHIP"/>
    <x v="4"/>
    <n v="2513.5500000000002"/>
    <n v="2513.5499999999997"/>
    <x v="3"/>
    <s v="Q4"/>
    <x v="0"/>
    <s v="Pending"/>
    <s v="Yes"/>
  </r>
  <r>
    <x v="119"/>
    <d v="2025-06-11T00:00:00"/>
    <s v="C14683"/>
    <x v="6"/>
    <n v="2"/>
    <n v="534.66999999999996"/>
    <s v="187 Main St"/>
    <x v="0"/>
    <x v="0"/>
    <s v="TRK47373682"/>
    <n v="7"/>
    <s v="FREESHIP"/>
    <x v="1"/>
    <n v="1069.3399999999999"/>
    <n v="1069.3399999999999"/>
    <x v="5"/>
    <s v="Q2"/>
    <x v="0"/>
    <s v="Pending"/>
    <s v="Yes"/>
  </r>
  <r>
    <x v="120"/>
    <d v="2023-04-11T00:00:00"/>
    <s v="C58108"/>
    <x v="2"/>
    <n v="4"/>
    <n v="629.34"/>
    <s v="986 Main St"/>
    <x v="4"/>
    <x v="1"/>
    <s v="TRK66218053"/>
    <n v="4"/>
    <s v="WINTER15"/>
    <x v="0"/>
    <n v="2517.36"/>
    <n v="2517.36"/>
    <x v="6"/>
    <s v="Q2"/>
    <x v="0"/>
    <s v="Pending"/>
    <s v="Yes"/>
  </r>
  <r>
    <x v="121"/>
    <d v="2023-11-30T00:00:00"/>
    <s v="C89822"/>
    <x v="6"/>
    <n v="1"/>
    <n v="410.78"/>
    <s v="673 Main St"/>
    <x v="4"/>
    <x v="1"/>
    <s v="TRK24138598"/>
    <n v="1"/>
    <s v="FREESHIP"/>
    <x v="0"/>
    <n v="410.78"/>
    <n v="410.78"/>
    <x v="7"/>
    <s v="Q4"/>
    <x v="1"/>
    <s v="Pending"/>
    <s v="Yes"/>
  </r>
  <r>
    <x v="122"/>
    <d v="2024-04-15T00:00:00"/>
    <s v="C96787"/>
    <x v="5"/>
    <n v="2"/>
    <n v="533.02"/>
    <s v="588 Main St"/>
    <x v="3"/>
    <x v="0"/>
    <s v="TRK30422853"/>
    <n v="2"/>
    <m/>
    <x v="3"/>
    <n v="1066.04"/>
    <n v="1066.04"/>
    <x v="6"/>
    <s v="Q2"/>
    <x v="0"/>
    <s v="Pending"/>
    <s v="No"/>
  </r>
  <r>
    <x v="123"/>
    <d v="2023-07-06T00:00:00"/>
    <s v="C86064"/>
    <x v="6"/>
    <n v="3"/>
    <n v="278.04000000000002"/>
    <s v="727 Main St"/>
    <x v="1"/>
    <x v="3"/>
    <s v="TRK62182901"/>
    <n v="5"/>
    <m/>
    <x v="0"/>
    <n v="834.12000000000012"/>
    <n v="834.12000000000012"/>
    <x v="10"/>
    <s v="Q3"/>
    <x v="0"/>
    <s v="Completed"/>
    <s v="No"/>
  </r>
  <r>
    <x v="124"/>
    <d v="2024-07-28T00:00:00"/>
    <s v="C97148"/>
    <x v="4"/>
    <n v="4"/>
    <n v="283.79000000000002"/>
    <s v="563 Main St"/>
    <x v="1"/>
    <x v="4"/>
    <s v="TRK85321126"/>
    <n v="8"/>
    <m/>
    <x v="4"/>
    <n v="1135.1600000000001"/>
    <n v="1135.1600000000001"/>
    <x v="10"/>
    <s v="Q3"/>
    <x v="0"/>
    <s v="Pending"/>
    <s v="No"/>
  </r>
  <r>
    <x v="125"/>
    <d v="2024-11-06T00:00:00"/>
    <s v="C91099"/>
    <x v="1"/>
    <n v="2"/>
    <n v="512.65"/>
    <s v="758 Main St"/>
    <x v="2"/>
    <x v="0"/>
    <s v="TRK81846174"/>
    <n v="5"/>
    <s v="SAVE10"/>
    <x v="2"/>
    <n v="1025.3"/>
    <n v="1025.3"/>
    <x v="7"/>
    <s v="Q4"/>
    <x v="0"/>
    <s v="Pending"/>
    <s v="Yes"/>
  </r>
  <r>
    <x v="126"/>
    <d v="2025-05-03T00:00:00"/>
    <s v="C55606"/>
    <x v="6"/>
    <n v="4"/>
    <n v="275.5"/>
    <s v="353 Main St"/>
    <x v="3"/>
    <x v="0"/>
    <s v="TRK68250319"/>
    <n v="8"/>
    <s v="FREESHIP"/>
    <x v="4"/>
    <n v="1102"/>
    <n v="1102"/>
    <x v="4"/>
    <s v="Q2"/>
    <x v="0"/>
    <s v="Pending"/>
    <s v="Yes"/>
  </r>
  <r>
    <x v="127"/>
    <d v="2023-08-10T00:00:00"/>
    <s v="C71486"/>
    <x v="6"/>
    <n v="3"/>
    <n v="469.32"/>
    <s v="365 Main St"/>
    <x v="0"/>
    <x v="0"/>
    <s v="TRK73929833"/>
    <n v="3"/>
    <m/>
    <x v="4"/>
    <n v="1407.96"/>
    <n v="1407.96"/>
    <x v="1"/>
    <s v="Q3"/>
    <x v="0"/>
    <s v="Pending"/>
    <s v="No"/>
  </r>
  <r>
    <x v="128"/>
    <d v="2023-02-17T00:00:00"/>
    <s v="C86408"/>
    <x v="2"/>
    <n v="4"/>
    <n v="21.07"/>
    <s v="244 Main St"/>
    <x v="3"/>
    <x v="3"/>
    <s v="TRK41432648"/>
    <n v="4"/>
    <s v="FREESHIP"/>
    <x v="4"/>
    <n v="84.28"/>
    <n v="84.28"/>
    <x v="2"/>
    <s v="Q1"/>
    <x v="2"/>
    <s v="Completed"/>
    <s v="Yes"/>
  </r>
  <r>
    <x v="129"/>
    <d v="2023-10-27T00:00:00"/>
    <s v="C52751"/>
    <x v="5"/>
    <n v="4"/>
    <n v="263.93"/>
    <s v="427 Main St"/>
    <x v="0"/>
    <x v="0"/>
    <s v="TRK72481234"/>
    <n v="4"/>
    <s v="FREESHIP"/>
    <x v="3"/>
    <n v="1055.72"/>
    <n v="1055.72"/>
    <x v="3"/>
    <s v="Q4"/>
    <x v="0"/>
    <s v="Pending"/>
    <s v="Yes"/>
  </r>
  <r>
    <x v="130"/>
    <d v="2025-01-22T00:00:00"/>
    <s v="C29059"/>
    <x v="6"/>
    <n v="3"/>
    <n v="501.3"/>
    <s v="513 Main St"/>
    <x v="1"/>
    <x v="1"/>
    <s v="TRK88360704"/>
    <n v="3"/>
    <s v="WINTER15"/>
    <x v="3"/>
    <n v="1503.9"/>
    <n v="1503.9"/>
    <x v="0"/>
    <s v="Q1"/>
    <x v="0"/>
    <s v="Pending"/>
    <s v="Yes"/>
  </r>
  <r>
    <x v="131"/>
    <d v="2023-01-08T00:00:00"/>
    <s v="C72862"/>
    <x v="2"/>
    <n v="1"/>
    <n v="84.8"/>
    <s v="606 Main St"/>
    <x v="3"/>
    <x v="4"/>
    <s v="TRK51648833"/>
    <n v="5"/>
    <m/>
    <x v="0"/>
    <n v="84.8"/>
    <n v="84.8"/>
    <x v="0"/>
    <s v="Q1"/>
    <x v="2"/>
    <s v="Pending"/>
    <s v="No"/>
  </r>
  <r>
    <x v="132"/>
    <d v="2023-03-28T00:00:00"/>
    <s v="C96257"/>
    <x v="2"/>
    <n v="4"/>
    <n v="450.75"/>
    <s v="583 Main St"/>
    <x v="2"/>
    <x v="0"/>
    <s v="TRK13137948"/>
    <n v="6"/>
    <s v="WINTER15"/>
    <x v="2"/>
    <n v="1803"/>
    <n v="1803"/>
    <x v="9"/>
    <s v="Q1"/>
    <x v="0"/>
    <s v="Pending"/>
    <s v="Yes"/>
  </r>
  <r>
    <x v="133"/>
    <d v="2025-06-20T00:00:00"/>
    <s v="C87432"/>
    <x v="3"/>
    <n v="4"/>
    <n v="302.05"/>
    <s v="636 Main St"/>
    <x v="0"/>
    <x v="1"/>
    <s v="TRK68969625"/>
    <n v="6"/>
    <s v="SAVE10"/>
    <x v="4"/>
    <n v="1208.2"/>
    <n v="1208.2"/>
    <x v="5"/>
    <s v="Q2"/>
    <x v="0"/>
    <s v="Pending"/>
    <s v="Yes"/>
  </r>
  <r>
    <x v="134"/>
    <d v="2025-06-23T00:00:00"/>
    <s v="C16253"/>
    <x v="5"/>
    <n v="2"/>
    <n v="199.7"/>
    <s v="583 Main St"/>
    <x v="4"/>
    <x v="4"/>
    <s v="TRK17354894"/>
    <n v="4"/>
    <m/>
    <x v="2"/>
    <n v="399.4"/>
    <n v="399.4"/>
    <x v="5"/>
    <s v="Q2"/>
    <x v="1"/>
    <s v="Pending"/>
    <s v="No"/>
  </r>
  <r>
    <x v="135"/>
    <d v="2023-08-04T00:00:00"/>
    <s v="C79909"/>
    <x v="4"/>
    <n v="2"/>
    <n v="68.81"/>
    <s v="642 Main St"/>
    <x v="3"/>
    <x v="0"/>
    <s v="TRK86742257"/>
    <n v="5"/>
    <s v="SAVE10"/>
    <x v="1"/>
    <n v="137.62"/>
    <n v="137.62"/>
    <x v="1"/>
    <s v="Q3"/>
    <x v="1"/>
    <s v="Pending"/>
    <s v="Yes"/>
  </r>
  <r>
    <x v="136"/>
    <d v="2024-04-27T00:00:00"/>
    <s v="C73370"/>
    <x v="5"/>
    <n v="1"/>
    <n v="44.35"/>
    <s v="595 Main St"/>
    <x v="3"/>
    <x v="1"/>
    <s v="TRK67820278"/>
    <n v="1"/>
    <s v="SAVE10"/>
    <x v="0"/>
    <n v="44.35"/>
    <n v="44.35"/>
    <x v="6"/>
    <s v="Q2"/>
    <x v="2"/>
    <s v="Pending"/>
    <s v="Yes"/>
  </r>
  <r>
    <x v="137"/>
    <d v="2024-11-26T00:00:00"/>
    <s v="C50682"/>
    <x v="0"/>
    <n v="2"/>
    <n v="250.98"/>
    <s v="598 Main St"/>
    <x v="2"/>
    <x v="3"/>
    <s v="TRK12242337"/>
    <n v="5"/>
    <m/>
    <x v="4"/>
    <n v="501.96"/>
    <n v="501.96"/>
    <x v="7"/>
    <s v="Q4"/>
    <x v="0"/>
    <s v="Completed"/>
    <s v="No"/>
  </r>
  <r>
    <x v="138"/>
    <d v="2023-12-21T00:00:00"/>
    <s v="C21905"/>
    <x v="2"/>
    <n v="1"/>
    <n v="298.06"/>
    <s v="478 Main St"/>
    <x v="0"/>
    <x v="4"/>
    <s v="TRK31863841"/>
    <n v="3"/>
    <s v="WINTER15"/>
    <x v="4"/>
    <n v="298.06"/>
    <n v="298.06"/>
    <x v="8"/>
    <s v="Q4"/>
    <x v="1"/>
    <s v="Pending"/>
    <s v="Yes"/>
  </r>
  <r>
    <x v="139"/>
    <d v="2023-04-10T00:00:00"/>
    <s v="C61440"/>
    <x v="1"/>
    <n v="1"/>
    <n v="583.9"/>
    <s v="714 Main St"/>
    <x v="4"/>
    <x v="2"/>
    <s v="TRK33114521"/>
    <n v="1"/>
    <m/>
    <x v="2"/>
    <n v="583.9"/>
    <n v="583.9"/>
    <x v="6"/>
    <s v="Q2"/>
    <x v="0"/>
    <s v="Pending"/>
    <s v="No"/>
  </r>
  <r>
    <x v="140"/>
    <d v="2025-05-31T00:00:00"/>
    <s v="C33110"/>
    <x v="3"/>
    <n v="3"/>
    <n v="528.14"/>
    <s v="388 Main St"/>
    <x v="1"/>
    <x v="3"/>
    <s v="TRK38624225"/>
    <n v="3"/>
    <s v="FREESHIP"/>
    <x v="2"/>
    <n v="1584.42"/>
    <n v="1584.42"/>
    <x v="4"/>
    <s v="Q2"/>
    <x v="0"/>
    <s v="Completed"/>
    <s v="Yes"/>
  </r>
  <r>
    <x v="141"/>
    <d v="2023-11-18T00:00:00"/>
    <s v="C80004"/>
    <x v="4"/>
    <n v="3"/>
    <n v="684.14"/>
    <s v="151 Main St"/>
    <x v="4"/>
    <x v="1"/>
    <s v="TRK66230753"/>
    <n v="3"/>
    <s v="WINTER15"/>
    <x v="0"/>
    <n v="2052.42"/>
    <n v="2052.42"/>
    <x v="7"/>
    <s v="Q4"/>
    <x v="0"/>
    <s v="Pending"/>
    <s v="Yes"/>
  </r>
  <r>
    <x v="142"/>
    <d v="2023-09-06T00:00:00"/>
    <s v="C86374"/>
    <x v="6"/>
    <n v="5"/>
    <n v="272.77"/>
    <s v="573 Main St"/>
    <x v="4"/>
    <x v="4"/>
    <s v="TRK79451491"/>
    <n v="7"/>
    <s v="WINTER15"/>
    <x v="2"/>
    <n v="1363.85"/>
    <n v="1363.85"/>
    <x v="11"/>
    <s v="Q3"/>
    <x v="0"/>
    <s v="Pending"/>
    <s v="Yes"/>
  </r>
  <r>
    <x v="143"/>
    <d v="2024-06-13T00:00:00"/>
    <s v="C66521"/>
    <x v="3"/>
    <n v="4"/>
    <n v="400.07"/>
    <s v="933 Main St"/>
    <x v="1"/>
    <x v="0"/>
    <s v="TRK34654244"/>
    <n v="5"/>
    <m/>
    <x v="1"/>
    <n v="1600.28"/>
    <n v="1600.28"/>
    <x v="5"/>
    <s v="Q2"/>
    <x v="0"/>
    <s v="Pending"/>
    <s v="No"/>
  </r>
  <r>
    <x v="144"/>
    <d v="2023-08-04T00:00:00"/>
    <s v="C63365"/>
    <x v="6"/>
    <n v="5"/>
    <n v="219.78"/>
    <s v="895 Main St"/>
    <x v="2"/>
    <x v="4"/>
    <s v="TRK80100887"/>
    <n v="8"/>
    <m/>
    <x v="3"/>
    <n v="1098.9000000000001"/>
    <n v="1098.9000000000001"/>
    <x v="1"/>
    <s v="Q3"/>
    <x v="0"/>
    <s v="Pending"/>
    <s v="No"/>
  </r>
  <r>
    <x v="145"/>
    <d v="2024-03-02T00:00:00"/>
    <s v="C85929"/>
    <x v="4"/>
    <n v="3"/>
    <n v="146.91"/>
    <s v="798 Main St"/>
    <x v="2"/>
    <x v="3"/>
    <s v="TRK29318610"/>
    <n v="6"/>
    <s v="FREESHIP"/>
    <x v="4"/>
    <n v="440.73"/>
    <n v="440.73"/>
    <x v="9"/>
    <s v="Q1"/>
    <x v="1"/>
    <s v="Completed"/>
    <s v="Yes"/>
  </r>
  <r>
    <x v="146"/>
    <d v="2025-04-30T00:00:00"/>
    <s v="C84645"/>
    <x v="2"/>
    <n v="2"/>
    <n v="411.49"/>
    <s v="404 Main St"/>
    <x v="2"/>
    <x v="2"/>
    <s v="TRK68893369"/>
    <n v="4"/>
    <m/>
    <x v="0"/>
    <n v="822.98"/>
    <n v="822.98"/>
    <x v="6"/>
    <s v="Q2"/>
    <x v="0"/>
    <s v="Pending"/>
    <s v="No"/>
  </r>
  <r>
    <x v="147"/>
    <d v="2025-05-06T00:00:00"/>
    <s v="C46316"/>
    <x v="5"/>
    <n v="2"/>
    <n v="465.18"/>
    <s v="893 Main St"/>
    <x v="2"/>
    <x v="1"/>
    <s v="TRK16196000"/>
    <n v="2"/>
    <s v="SAVE10"/>
    <x v="4"/>
    <n v="930.36"/>
    <n v="930.36"/>
    <x v="4"/>
    <s v="Q2"/>
    <x v="0"/>
    <s v="Pending"/>
    <s v="Yes"/>
  </r>
  <r>
    <x v="148"/>
    <d v="2024-12-15T00:00:00"/>
    <s v="C35100"/>
    <x v="1"/>
    <n v="2"/>
    <n v="319.91000000000003"/>
    <s v="139 Main St"/>
    <x v="2"/>
    <x v="1"/>
    <s v="TRK56853491"/>
    <n v="3"/>
    <s v="WINTER15"/>
    <x v="4"/>
    <n v="639.82000000000005"/>
    <n v="639.82000000000005"/>
    <x v="8"/>
    <s v="Q4"/>
    <x v="0"/>
    <s v="Pending"/>
    <s v="Yes"/>
  </r>
  <r>
    <x v="149"/>
    <d v="2023-12-27T00:00:00"/>
    <s v="C39671"/>
    <x v="5"/>
    <n v="1"/>
    <n v="217.56"/>
    <s v="174 Main St"/>
    <x v="0"/>
    <x v="3"/>
    <s v="TRK47153818"/>
    <n v="3"/>
    <m/>
    <x v="3"/>
    <n v="217.56"/>
    <n v="217.56"/>
    <x v="8"/>
    <s v="Q4"/>
    <x v="1"/>
    <s v="Completed"/>
    <s v="No"/>
  </r>
  <r>
    <x v="150"/>
    <d v="2023-12-13T00:00:00"/>
    <s v="C25503"/>
    <x v="1"/>
    <n v="2"/>
    <n v="105.57"/>
    <s v="981 Main St"/>
    <x v="0"/>
    <x v="2"/>
    <s v="TRK29878837"/>
    <n v="5"/>
    <s v="WINTER15"/>
    <x v="4"/>
    <n v="211.14"/>
    <n v="211.14"/>
    <x v="8"/>
    <s v="Q4"/>
    <x v="1"/>
    <s v="Pending"/>
    <s v="Yes"/>
  </r>
  <r>
    <x v="151"/>
    <d v="2023-12-01T00:00:00"/>
    <s v="C32960"/>
    <x v="4"/>
    <n v="5"/>
    <n v="444.76"/>
    <s v="947 Main St"/>
    <x v="0"/>
    <x v="2"/>
    <s v="TRK91226500"/>
    <n v="7"/>
    <m/>
    <x v="2"/>
    <n v="2223.8000000000002"/>
    <n v="2223.8000000000002"/>
    <x v="8"/>
    <s v="Q4"/>
    <x v="0"/>
    <s v="Pending"/>
    <s v="No"/>
  </r>
  <r>
    <x v="152"/>
    <d v="2025-01-02T00:00:00"/>
    <s v="C77736"/>
    <x v="3"/>
    <n v="2"/>
    <n v="399.04"/>
    <s v="659 Main St"/>
    <x v="4"/>
    <x v="1"/>
    <s v="TRK90329250"/>
    <n v="3"/>
    <s v="FREESHIP"/>
    <x v="1"/>
    <n v="798.08"/>
    <n v="798.08"/>
    <x v="0"/>
    <s v="Q1"/>
    <x v="0"/>
    <s v="Pending"/>
    <s v="Yes"/>
  </r>
  <r>
    <x v="153"/>
    <d v="2024-12-18T00:00:00"/>
    <s v="C71570"/>
    <x v="3"/>
    <n v="4"/>
    <n v="534.48"/>
    <s v="437 Main St"/>
    <x v="1"/>
    <x v="2"/>
    <s v="TRK95992269"/>
    <n v="9"/>
    <s v="WINTER15"/>
    <x v="0"/>
    <n v="2137.92"/>
    <n v="2137.92"/>
    <x v="8"/>
    <s v="Q4"/>
    <x v="0"/>
    <s v="Pending"/>
    <s v="Yes"/>
  </r>
  <r>
    <x v="154"/>
    <d v="2023-07-20T00:00:00"/>
    <s v="C73587"/>
    <x v="1"/>
    <n v="4"/>
    <n v="408.21"/>
    <s v="727 Main St"/>
    <x v="2"/>
    <x v="4"/>
    <s v="TRK13955543"/>
    <n v="9"/>
    <m/>
    <x v="0"/>
    <n v="1632.84"/>
    <n v="1632.84"/>
    <x v="10"/>
    <s v="Q3"/>
    <x v="0"/>
    <s v="Pending"/>
    <s v="No"/>
  </r>
  <r>
    <x v="155"/>
    <d v="2023-02-27T00:00:00"/>
    <s v="C62740"/>
    <x v="1"/>
    <n v="1"/>
    <n v="424.4"/>
    <s v="446 Main St"/>
    <x v="1"/>
    <x v="0"/>
    <s v="TRK20706408"/>
    <n v="6"/>
    <s v="WINTER15"/>
    <x v="1"/>
    <n v="424.4"/>
    <n v="424.4"/>
    <x v="2"/>
    <s v="Q1"/>
    <x v="1"/>
    <s v="Pending"/>
    <s v="Yes"/>
  </r>
  <r>
    <x v="156"/>
    <d v="2024-11-08T00:00:00"/>
    <s v="C58808"/>
    <x v="3"/>
    <n v="2"/>
    <n v="269.83"/>
    <s v="651 Main St"/>
    <x v="1"/>
    <x v="3"/>
    <s v="TRK24451893"/>
    <n v="4"/>
    <s v="SAVE10"/>
    <x v="2"/>
    <n v="539.66"/>
    <n v="539.66"/>
    <x v="7"/>
    <s v="Q4"/>
    <x v="0"/>
    <s v="Completed"/>
    <s v="Yes"/>
  </r>
  <r>
    <x v="157"/>
    <d v="2025-02-21T00:00:00"/>
    <s v="C50422"/>
    <x v="0"/>
    <n v="2"/>
    <n v="564.58000000000004"/>
    <s v="636 Main St"/>
    <x v="1"/>
    <x v="2"/>
    <s v="TRK71227815"/>
    <n v="4"/>
    <s v="WINTER15"/>
    <x v="3"/>
    <n v="1129.1600000000001"/>
    <n v="1129.1600000000001"/>
    <x v="2"/>
    <s v="Q1"/>
    <x v="0"/>
    <s v="Pending"/>
    <s v="Yes"/>
  </r>
  <r>
    <x v="158"/>
    <d v="2024-05-16T00:00:00"/>
    <s v="C23334"/>
    <x v="2"/>
    <n v="1"/>
    <n v="331.06"/>
    <s v="737 Main St"/>
    <x v="2"/>
    <x v="4"/>
    <s v="TRK46335144"/>
    <n v="5"/>
    <s v="WINTER15"/>
    <x v="0"/>
    <n v="331.06"/>
    <n v="331.06"/>
    <x v="4"/>
    <s v="Q2"/>
    <x v="1"/>
    <s v="Pending"/>
    <s v="Yes"/>
  </r>
  <r>
    <x v="159"/>
    <d v="2023-10-31T00:00:00"/>
    <s v="C48965"/>
    <x v="4"/>
    <n v="1"/>
    <n v="299.35000000000002"/>
    <s v="819 Main St"/>
    <x v="2"/>
    <x v="1"/>
    <s v="TRK50921780"/>
    <n v="5"/>
    <s v="WINTER15"/>
    <x v="2"/>
    <n v="299.35000000000002"/>
    <n v="299.35000000000002"/>
    <x v="3"/>
    <s v="Q4"/>
    <x v="1"/>
    <s v="Pending"/>
    <s v="Yes"/>
  </r>
  <r>
    <x v="160"/>
    <d v="2023-02-17T00:00:00"/>
    <s v="C38669"/>
    <x v="0"/>
    <n v="4"/>
    <n v="101.32"/>
    <s v="240 Main St"/>
    <x v="4"/>
    <x v="4"/>
    <s v="TRK81738254"/>
    <n v="7"/>
    <m/>
    <x v="1"/>
    <n v="405.28"/>
    <n v="405.28"/>
    <x v="2"/>
    <s v="Q1"/>
    <x v="1"/>
    <s v="Pending"/>
    <s v="No"/>
  </r>
  <r>
    <x v="161"/>
    <d v="2024-03-29T00:00:00"/>
    <s v="C35091"/>
    <x v="0"/>
    <n v="1"/>
    <n v="211.14"/>
    <s v="513 Main St"/>
    <x v="2"/>
    <x v="1"/>
    <s v="TRK53784452"/>
    <n v="1"/>
    <s v="SAVE10"/>
    <x v="3"/>
    <n v="211.14"/>
    <n v="211.14"/>
    <x v="9"/>
    <s v="Q1"/>
    <x v="1"/>
    <s v="Pending"/>
    <s v="Yes"/>
  </r>
  <r>
    <x v="162"/>
    <d v="2023-07-27T00:00:00"/>
    <s v="C82313"/>
    <x v="3"/>
    <n v="3"/>
    <n v="65.86"/>
    <s v="917 Main St"/>
    <x v="1"/>
    <x v="4"/>
    <s v="TRK79854624"/>
    <n v="8"/>
    <s v="WINTER15"/>
    <x v="4"/>
    <n v="197.58"/>
    <n v="197.57999999999998"/>
    <x v="10"/>
    <s v="Q3"/>
    <x v="1"/>
    <s v="Pending"/>
    <s v="Yes"/>
  </r>
  <r>
    <x v="163"/>
    <d v="2025-06-24T00:00:00"/>
    <s v="C99589"/>
    <x v="2"/>
    <n v="1"/>
    <n v="641.39"/>
    <s v="277 Main St"/>
    <x v="1"/>
    <x v="1"/>
    <s v="TRK16695001"/>
    <n v="1"/>
    <m/>
    <x v="1"/>
    <n v="641.39"/>
    <n v="641.39"/>
    <x v="5"/>
    <s v="Q2"/>
    <x v="0"/>
    <s v="Pending"/>
    <s v="No"/>
  </r>
  <r>
    <x v="164"/>
    <d v="2023-12-28T00:00:00"/>
    <s v="C70566"/>
    <x v="6"/>
    <n v="5"/>
    <n v="536.58000000000004"/>
    <s v="667 Main St"/>
    <x v="3"/>
    <x v="4"/>
    <s v="TRK49673411"/>
    <n v="5"/>
    <s v="SAVE10"/>
    <x v="4"/>
    <n v="2682.9"/>
    <n v="2682.9"/>
    <x v="8"/>
    <s v="Q4"/>
    <x v="0"/>
    <s v="Pending"/>
    <s v="Yes"/>
  </r>
  <r>
    <x v="165"/>
    <d v="2024-09-14T00:00:00"/>
    <s v="C60355"/>
    <x v="0"/>
    <n v="2"/>
    <n v="500.29"/>
    <s v="226 Main St"/>
    <x v="1"/>
    <x v="2"/>
    <s v="TRK30155194"/>
    <n v="7"/>
    <s v="WINTER15"/>
    <x v="4"/>
    <n v="1000.58"/>
    <n v="1000.58"/>
    <x v="11"/>
    <s v="Q3"/>
    <x v="0"/>
    <s v="Pending"/>
    <s v="Yes"/>
  </r>
  <r>
    <x v="166"/>
    <d v="2025-03-04T00:00:00"/>
    <s v="C28889"/>
    <x v="3"/>
    <n v="3"/>
    <n v="86.29"/>
    <s v="565 Main St"/>
    <x v="4"/>
    <x v="3"/>
    <s v="TRK23791726"/>
    <n v="6"/>
    <s v="WINTER15"/>
    <x v="0"/>
    <n v="258.87"/>
    <n v="258.87"/>
    <x v="9"/>
    <s v="Q1"/>
    <x v="1"/>
    <s v="Completed"/>
    <s v="Yes"/>
  </r>
  <r>
    <x v="167"/>
    <d v="2023-05-27T00:00:00"/>
    <s v="C88304"/>
    <x v="3"/>
    <n v="2"/>
    <n v="384.14"/>
    <s v="219 Main St"/>
    <x v="1"/>
    <x v="2"/>
    <s v="TRK44268941"/>
    <n v="2"/>
    <s v="WINTER15"/>
    <x v="2"/>
    <n v="768.28"/>
    <n v="768.28"/>
    <x v="4"/>
    <s v="Q2"/>
    <x v="0"/>
    <s v="Pending"/>
    <s v="Yes"/>
  </r>
  <r>
    <x v="168"/>
    <d v="2025-01-04T00:00:00"/>
    <s v="C49517"/>
    <x v="4"/>
    <n v="1"/>
    <n v="594.96"/>
    <s v="878 Main St"/>
    <x v="4"/>
    <x v="2"/>
    <s v="TRK78551375"/>
    <n v="6"/>
    <m/>
    <x v="3"/>
    <n v="594.96"/>
    <n v="594.96"/>
    <x v="0"/>
    <s v="Q1"/>
    <x v="0"/>
    <s v="Pending"/>
    <s v="No"/>
  </r>
  <r>
    <x v="169"/>
    <d v="2024-04-07T00:00:00"/>
    <s v="C35785"/>
    <x v="4"/>
    <n v="1"/>
    <n v="427.82"/>
    <s v="732 Main St"/>
    <x v="1"/>
    <x v="3"/>
    <s v="TRK78923089"/>
    <n v="2"/>
    <s v="WINTER15"/>
    <x v="2"/>
    <n v="427.82"/>
    <n v="427.82"/>
    <x v="6"/>
    <s v="Q2"/>
    <x v="1"/>
    <s v="Completed"/>
    <s v="Yes"/>
  </r>
  <r>
    <x v="170"/>
    <d v="2025-04-04T00:00:00"/>
    <s v="C80223"/>
    <x v="6"/>
    <n v="4"/>
    <n v="662.94"/>
    <s v="535 Main St"/>
    <x v="4"/>
    <x v="1"/>
    <s v="TRK68632951"/>
    <n v="8"/>
    <s v="SAVE10"/>
    <x v="0"/>
    <n v="2651.76"/>
    <n v="2651.76"/>
    <x v="6"/>
    <s v="Q2"/>
    <x v="0"/>
    <s v="Pending"/>
    <s v="Yes"/>
  </r>
  <r>
    <x v="171"/>
    <d v="2023-08-15T00:00:00"/>
    <s v="C20448"/>
    <x v="2"/>
    <n v="2"/>
    <n v="148.22"/>
    <s v="336 Main St"/>
    <x v="2"/>
    <x v="3"/>
    <s v="TRK67379895"/>
    <n v="7"/>
    <s v="WINTER15"/>
    <x v="0"/>
    <n v="296.44"/>
    <n v="296.44"/>
    <x v="1"/>
    <s v="Q3"/>
    <x v="1"/>
    <s v="Completed"/>
    <s v="Yes"/>
  </r>
  <r>
    <x v="172"/>
    <d v="2025-04-06T00:00:00"/>
    <s v="C34134"/>
    <x v="4"/>
    <n v="1"/>
    <n v="254.12"/>
    <s v="365 Main St"/>
    <x v="1"/>
    <x v="3"/>
    <s v="TRK43074303"/>
    <n v="1"/>
    <s v="WINTER15"/>
    <x v="2"/>
    <n v="254.12"/>
    <n v="254.12"/>
    <x v="6"/>
    <s v="Q2"/>
    <x v="1"/>
    <s v="Completed"/>
    <s v="Yes"/>
  </r>
  <r>
    <x v="173"/>
    <d v="2024-03-24T00:00:00"/>
    <s v="C95901"/>
    <x v="1"/>
    <n v="3"/>
    <n v="664.46"/>
    <s v="806 Main St"/>
    <x v="1"/>
    <x v="3"/>
    <s v="TRK56989066"/>
    <n v="4"/>
    <s v="FREESHIP"/>
    <x v="4"/>
    <n v="1993.38"/>
    <n v="1993.38"/>
    <x v="9"/>
    <s v="Q1"/>
    <x v="0"/>
    <s v="Completed"/>
    <s v="Yes"/>
  </r>
  <r>
    <x v="174"/>
    <d v="2024-04-16T00:00:00"/>
    <s v="C51145"/>
    <x v="4"/>
    <n v="4"/>
    <n v="600.80999999999995"/>
    <s v="790 Main St"/>
    <x v="0"/>
    <x v="3"/>
    <s v="TRK59154274"/>
    <n v="9"/>
    <s v="SAVE10"/>
    <x v="2"/>
    <n v="2403.2399999999998"/>
    <n v="2403.2399999999998"/>
    <x v="6"/>
    <s v="Q2"/>
    <x v="0"/>
    <s v="Completed"/>
    <s v="Yes"/>
  </r>
  <r>
    <x v="175"/>
    <d v="2025-02-08T00:00:00"/>
    <s v="C78170"/>
    <x v="3"/>
    <n v="5"/>
    <n v="68.34"/>
    <s v="332 Main St"/>
    <x v="0"/>
    <x v="4"/>
    <s v="TRK71410605"/>
    <n v="6"/>
    <s v="WINTER15"/>
    <x v="1"/>
    <n v="341.7"/>
    <n v="341.70000000000005"/>
    <x v="2"/>
    <s v="Q1"/>
    <x v="1"/>
    <s v="Pending"/>
    <s v="Yes"/>
  </r>
  <r>
    <x v="176"/>
    <d v="2025-06-28T00:00:00"/>
    <s v="C80151"/>
    <x v="2"/>
    <n v="4"/>
    <n v="430.83"/>
    <s v="553 Main St"/>
    <x v="3"/>
    <x v="4"/>
    <s v="TRK88251529"/>
    <n v="8"/>
    <s v="WINTER15"/>
    <x v="1"/>
    <n v="1723.32"/>
    <n v="1723.32"/>
    <x v="5"/>
    <s v="Q2"/>
    <x v="0"/>
    <s v="Pending"/>
    <s v="Yes"/>
  </r>
  <r>
    <x v="177"/>
    <d v="2023-08-05T00:00:00"/>
    <s v="C55632"/>
    <x v="3"/>
    <n v="5"/>
    <n v="431.69"/>
    <s v="354 Main St"/>
    <x v="2"/>
    <x v="4"/>
    <s v="TRK13003066"/>
    <n v="10"/>
    <m/>
    <x v="3"/>
    <n v="2158.4499999999998"/>
    <n v="2158.4499999999998"/>
    <x v="1"/>
    <s v="Q3"/>
    <x v="0"/>
    <s v="Pending"/>
    <s v="No"/>
  </r>
  <r>
    <x v="178"/>
    <d v="2024-04-11T00:00:00"/>
    <s v="C53070"/>
    <x v="3"/>
    <n v="4"/>
    <n v="512.05999999999995"/>
    <s v="283 Main St"/>
    <x v="1"/>
    <x v="3"/>
    <s v="TRK49791755"/>
    <n v="5"/>
    <s v="SAVE10"/>
    <x v="4"/>
    <n v="2048.2399999999998"/>
    <n v="2048.2399999999998"/>
    <x v="6"/>
    <s v="Q2"/>
    <x v="0"/>
    <s v="Completed"/>
    <s v="Yes"/>
  </r>
  <r>
    <x v="179"/>
    <d v="2024-11-24T00:00:00"/>
    <s v="C27401"/>
    <x v="5"/>
    <n v="3"/>
    <n v="539.91"/>
    <s v="500 Main St"/>
    <x v="2"/>
    <x v="3"/>
    <s v="TRK14332053"/>
    <n v="8"/>
    <m/>
    <x v="2"/>
    <n v="1619.73"/>
    <n v="1619.73"/>
    <x v="7"/>
    <s v="Q4"/>
    <x v="0"/>
    <s v="Completed"/>
    <s v="No"/>
  </r>
  <r>
    <x v="180"/>
    <d v="2023-03-18T00:00:00"/>
    <s v="C87216"/>
    <x v="2"/>
    <n v="5"/>
    <n v="316.07"/>
    <s v="970 Main St"/>
    <x v="4"/>
    <x v="2"/>
    <s v="TRK18713727"/>
    <n v="10"/>
    <m/>
    <x v="4"/>
    <n v="1580.35"/>
    <n v="1580.35"/>
    <x v="9"/>
    <s v="Q1"/>
    <x v="0"/>
    <s v="Pending"/>
    <s v="No"/>
  </r>
  <r>
    <x v="181"/>
    <d v="2024-08-31T00:00:00"/>
    <s v="C38966"/>
    <x v="4"/>
    <n v="5"/>
    <n v="404.39"/>
    <s v="247 Main St"/>
    <x v="1"/>
    <x v="0"/>
    <s v="TRK17205146"/>
    <n v="10"/>
    <m/>
    <x v="1"/>
    <n v="2021.95"/>
    <n v="2021.9499999999998"/>
    <x v="1"/>
    <s v="Q3"/>
    <x v="0"/>
    <s v="Pending"/>
    <s v="No"/>
  </r>
  <r>
    <x v="182"/>
    <d v="2025-03-19T00:00:00"/>
    <s v="C16612"/>
    <x v="6"/>
    <n v="1"/>
    <n v="600.54"/>
    <s v="596 Main St"/>
    <x v="0"/>
    <x v="4"/>
    <s v="TRK96188223"/>
    <n v="4"/>
    <s v="WINTER15"/>
    <x v="4"/>
    <n v="600.54"/>
    <n v="600.54"/>
    <x v="9"/>
    <s v="Q1"/>
    <x v="0"/>
    <s v="Pending"/>
    <s v="Yes"/>
  </r>
  <r>
    <x v="183"/>
    <d v="2024-04-18T00:00:00"/>
    <s v="C39246"/>
    <x v="0"/>
    <n v="5"/>
    <n v="186.28"/>
    <s v="258 Main St"/>
    <x v="0"/>
    <x v="3"/>
    <s v="TRK16658182"/>
    <n v="8"/>
    <s v="SAVE10"/>
    <x v="2"/>
    <n v="931.4"/>
    <n v="931.4"/>
    <x v="6"/>
    <s v="Q2"/>
    <x v="0"/>
    <s v="Completed"/>
    <s v="Yes"/>
  </r>
  <r>
    <x v="184"/>
    <d v="2024-04-04T00:00:00"/>
    <s v="C65180"/>
    <x v="2"/>
    <n v="4"/>
    <n v="214.54"/>
    <s v="231 Main St"/>
    <x v="3"/>
    <x v="1"/>
    <s v="TRK39255469"/>
    <n v="7"/>
    <m/>
    <x v="1"/>
    <n v="858.16"/>
    <n v="858.16"/>
    <x v="6"/>
    <s v="Q2"/>
    <x v="0"/>
    <s v="Pending"/>
    <s v="No"/>
  </r>
  <r>
    <x v="185"/>
    <d v="2025-02-02T00:00:00"/>
    <s v="C46877"/>
    <x v="5"/>
    <n v="1"/>
    <n v="210.7"/>
    <s v="572 Main St"/>
    <x v="1"/>
    <x v="0"/>
    <s v="TRK96935978"/>
    <n v="2"/>
    <s v="WINTER15"/>
    <x v="1"/>
    <n v="210.7"/>
    <n v="210.7"/>
    <x v="2"/>
    <s v="Q1"/>
    <x v="1"/>
    <s v="Pending"/>
    <s v="Yes"/>
  </r>
  <r>
    <x v="186"/>
    <d v="2023-12-07T00:00:00"/>
    <s v="C30334"/>
    <x v="1"/>
    <n v="2"/>
    <n v="133.55000000000001"/>
    <s v="322 Main St"/>
    <x v="4"/>
    <x v="4"/>
    <s v="TRK66388885"/>
    <n v="7"/>
    <s v="FREESHIP"/>
    <x v="3"/>
    <n v="267.10000000000002"/>
    <n v="267.10000000000002"/>
    <x v="8"/>
    <s v="Q4"/>
    <x v="1"/>
    <s v="Pending"/>
    <s v="Yes"/>
  </r>
  <r>
    <x v="187"/>
    <d v="2023-02-08T00:00:00"/>
    <s v="C21227"/>
    <x v="3"/>
    <n v="1"/>
    <n v="590.87"/>
    <s v="689 Main St"/>
    <x v="3"/>
    <x v="2"/>
    <s v="TRK79129657"/>
    <n v="6"/>
    <s v="FREESHIP"/>
    <x v="1"/>
    <n v="590.87"/>
    <n v="590.87"/>
    <x v="2"/>
    <s v="Q1"/>
    <x v="0"/>
    <s v="Pending"/>
    <s v="Yes"/>
  </r>
  <r>
    <x v="188"/>
    <d v="2025-03-15T00:00:00"/>
    <s v="C97715"/>
    <x v="3"/>
    <n v="2"/>
    <n v="363.91"/>
    <s v="927 Main St"/>
    <x v="3"/>
    <x v="0"/>
    <s v="TRK19515949"/>
    <n v="2"/>
    <s v="FREESHIP"/>
    <x v="1"/>
    <n v="727.82"/>
    <n v="727.82"/>
    <x v="9"/>
    <s v="Q1"/>
    <x v="0"/>
    <s v="Pending"/>
    <s v="Yes"/>
  </r>
  <r>
    <x v="189"/>
    <d v="2023-07-05T00:00:00"/>
    <s v="C48939"/>
    <x v="4"/>
    <n v="5"/>
    <n v="429.45"/>
    <s v="597 Main St"/>
    <x v="3"/>
    <x v="1"/>
    <s v="TRK62786764"/>
    <n v="5"/>
    <s v="WINTER15"/>
    <x v="2"/>
    <n v="2147.25"/>
    <n v="2147.25"/>
    <x v="10"/>
    <s v="Q3"/>
    <x v="0"/>
    <s v="Pending"/>
    <s v="Yes"/>
  </r>
  <r>
    <x v="190"/>
    <d v="2024-08-31T00:00:00"/>
    <s v="C35483"/>
    <x v="4"/>
    <n v="3"/>
    <n v="223.7"/>
    <s v="725 Main St"/>
    <x v="4"/>
    <x v="2"/>
    <s v="TRK79638203"/>
    <n v="3"/>
    <s v="SAVE10"/>
    <x v="2"/>
    <n v="671.09999999999991"/>
    <n v="671.09999999999991"/>
    <x v="1"/>
    <s v="Q3"/>
    <x v="0"/>
    <s v="Pending"/>
    <s v="Yes"/>
  </r>
  <r>
    <x v="191"/>
    <d v="2025-03-08T00:00:00"/>
    <s v="C51494"/>
    <x v="5"/>
    <n v="2"/>
    <n v="488.87"/>
    <s v="505 Main St"/>
    <x v="1"/>
    <x v="1"/>
    <s v="TRK58520306"/>
    <n v="4"/>
    <s v="FREESHIP"/>
    <x v="4"/>
    <n v="977.74"/>
    <n v="977.74"/>
    <x v="9"/>
    <s v="Q1"/>
    <x v="0"/>
    <s v="Pending"/>
    <s v="Yes"/>
  </r>
  <r>
    <x v="192"/>
    <d v="2023-08-11T00:00:00"/>
    <s v="C58410"/>
    <x v="6"/>
    <n v="1"/>
    <n v="645.46"/>
    <s v="151 Main St"/>
    <x v="3"/>
    <x v="1"/>
    <s v="TRK19749672"/>
    <n v="5"/>
    <s v="SAVE10"/>
    <x v="4"/>
    <n v="645.46"/>
    <n v="645.46"/>
    <x v="1"/>
    <s v="Q3"/>
    <x v="0"/>
    <s v="Pending"/>
    <s v="Yes"/>
  </r>
  <r>
    <x v="193"/>
    <d v="2023-07-21T00:00:00"/>
    <s v="C11644"/>
    <x v="4"/>
    <n v="1"/>
    <n v="46.66"/>
    <s v="429 Main St"/>
    <x v="4"/>
    <x v="1"/>
    <s v="TRK81320339"/>
    <n v="6"/>
    <m/>
    <x v="4"/>
    <n v="46.66"/>
    <n v="46.66"/>
    <x v="10"/>
    <s v="Q3"/>
    <x v="2"/>
    <s v="Pending"/>
    <s v="No"/>
  </r>
  <r>
    <x v="194"/>
    <d v="2024-06-08T00:00:00"/>
    <s v="C53501"/>
    <x v="0"/>
    <n v="1"/>
    <n v="249.57"/>
    <s v="899 Main St"/>
    <x v="4"/>
    <x v="0"/>
    <s v="TRK90144892"/>
    <n v="3"/>
    <s v="FREESHIP"/>
    <x v="4"/>
    <n v="249.57"/>
    <n v="249.57"/>
    <x v="5"/>
    <s v="Q2"/>
    <x v="1"/>
    <s v="Pending"/>
    <s v="Yes"/>
  </r>
  <r>
    <x v="195"/>
    <d v="2024-04-22T00:00:00"/>
    <s v="C63619"/>
    <x v="3"/>
    <n v="3"/>
    <n v="619.21"/>
    <s v="801 Main St"/>
    <x v="0"/>
    <x v="1"/>
    <s v="TRK65385674"/>
    <n v="6"/>
    <m/>
    <x v="2"/>
    <n v="1857.63"/>
    <n v="1857.63"/>
    <x v="6"/>
    <s v="Q2"/>
    <x v="0"/>
    <s v="Pending"/>
    <s v="No"/>
  </r>
  <r>
    <x v="196"/>
    <d v="2025-01-24T00:00:00"/>
    <s v="C40882"/>
    <x v="6"/>
    <n v="4"/>
    <n v="217.13"/>
    <s v="719 Main St"/>
    <x v="4"/>
    <x v="3"/>
    <s v="TRK64165503"/>
    <n v="8"/>
    <s v="WINTER15"/>
    <x v="2"/>
    <n v="868.52"/>
    <n v="868.52"/>
    <x v="0"/>
    <s v="Q1"/>
    <x v="0"/>
    <s v="Completed"/>
    <s v="Yes"/>
  </r>
  <r>
    <x v="197"/>
    <d v="2023-08-27T00:00:00"/>
    <s v="C80135"/>
    <x v="5"/>
    <n v="5"/>
    <n v="221.51"/>
    <s v="723 Main St"/>
    <x v="4"/>
    <x v="2"/>
    <s v="TRK95222269"/>
    <n v="5"/>
    <s v="WINTER15"/>
    <x v="1"/>
    <n v="1107.55"/>
    <n v="1107.55"/>
    <x v="1"/>
    <s v="Q3"/>
    <x v="0"/>
    <s v="Pending"/>
    <s v="Yes"/>
  </r>
  <r>
    <x v="198"/>
    <d v="2024-06-11T00:00:00"/>
    <s v="C37594"/>
    <x v="5"/>
    <n v="4"/>
    <n v="340.3"/>
    <s v="926 Main St"/>
    <x v="4"/>
    <x v="1"/>
    <s v="TRK94405162"/>
    <n v="8"/>
    <s v="SAVE10"/>
    <x v="1"/>
    <n v="1361.2"/>
    <n v="1361.2"/>
    <x v="5"/>
    <s v="Q2"/>
    <x v="0"/>
    <s v="Pending"/>
    <s v="Yes"/>
  </r>
  <r>
    <x v="199"/>
    <d v="2025-01-23T00:00:00"/>
    <s v="C87524"/>
    <x v="1"/>
    <n v="1"/>
    <n v="625"/>
    <s v="358 Main St"/>
    <x v="1"/>
    <x v="2"/>
    <s v="TRK21114341"/>
    <n v="5"/>
    <s v="WINTER15"/>
    <x v="4"/>
    <n v="625"/>
    <n v="625"/>
    <x v="0"/>
    <s v="Q1"/>
    <x v="0"/>
    <s v="Pending"/>
    <s v="Yes"/>
  </r>
  <r>
    <x v="200"/>
    <d v="2025-06-07T00:00:00"/>
    <s v="C97681"/>
    <x v="2"/>
    <n v="5"/>
    <n v="433.26"/>
    <s v="895 Main St"/>
    <x v="2"/>
    <x v="3"/>
    <s v="TRK37531040"/>
    <n v="9"/>
    <s v="SAVE10"/>
    <x v="4"/>
    <n v="2166.3000000000002"/>
    <n v="2166.3000000000002"/>
    <x v="5"/>
    <s v="Q2"/>
    <x v="0"/>
    <s v="Completed"/>
    <s v="Yes"/>
  </r>
  <r>
    <x v="201"/>
    <d v="2023-06-18T00:00:00"/>
    <s v="C10126"/>
    <x v="0"/>
    <n v="2"/>
    <n v="674.9"/>
    <s v="146 Main St"/>
    <x v="1"/>
    <x v="0"/>
    <s v="TRK75607531"/>
    <n v="4"/>
    <s v="SAVE10"/>
    <x v="3"/>
    <n v="1349.8"/>
    <n v="1349.8"/>
    <x v="5"/>
    <s v="Q2"/>
    <x v="0"/>
    <s v="Pending"/>
    <s v="Yes"/>
  </r>
  <r>
    <x v="202"/>
    <d v="2025-02-06T00:00:00"/>
    <s v="C36938"/>
    <x v="0"/>
    <n v="3"/>
    <n v="253.98"/>
    <s v="636 Main St"/>
    <x v="2"/>
    <x v="1"/>
    <s v="TRK52522904"/>
    <n v="3"/>
    <s v="FREESHIP"/>
    <x v="2"/>
    <n v="761.93999999999994"/>
    <n v="761.93999999999994"/>
    <x v="2"/>
    <s v="Q1"/>
    <x v="0"/>
    <s v="Pending"/>
    <s v="Yes"/>
  </r>
  <r>
    <x v="203"/>
    <d v="2025-01-21T00:00:00"/>
    <s v="C99173"/>
    <x v="4"/>
    <n v="3"/>
    <n v="356.84"/>
    <s v="172 Main St"/>
    <x v="1"/>
    <x v="0"/>
    <s v="TRK89849342"/>
    <n v="5"/>
    <s v="SAVE10"/>
    <x v="0"/>
    <n v="1070.52"/>
    <n v="1070.52"/>
    <x v="0"/>
    <s v="Q1"/>
    <x v="0"/>
    <s v="Pending"/>
    <s v="Yes"/>
  </r>
  <r>
    <x v="204"/>
    <d v="2023-09-05T00:00:00"/>
    <s v="C99775"/>
    <x v="5"/>
    <n v="4"/>
    <n v="413.71"/>
    <s v="478 Main St"/>
    <x v="3"/>
    <x v="1"/>
    <s v="TRK21638425"/>
    <n v="9"/>
    <s v="FREESHIP"/>
    <x v="3"/>
    <n v="1654.84"/>
    <n v="1654.84"/>
    <x v="11"/>
    <s v="Q3"/>
    <x v="0"/>
    <s v="Pending"/>
    <s v="Yes"/>
  </r>
  <r>
    <x v="205"/>
    <d v="2023-03-04T00:00:00"/>
    <s v="C19266"/>
    <x v="6"/>
    <n v="3"/>
    <n v="147.38999999999999"/>
    <s v="609 Main St"/>
    <x v="0"/>
    <x v="2"/>
    <s v="TRK58357269"/>
    <n v="3"/>
    <m/>
    <x v="2"/>
    <n v="442.17"/>
    <n v="442.16999999999996"/>
    <x v="9"/>
    <s v="Q1"/>
    <x v="1"/>
    <s v="Pending"/>
    <s v="No"/>
  </r>
  <r>
    <x v="206"/>
    <d v="2024-04-16T00:00:00"/>
    <s v="C31072"/>
    <x v="5"/>
    <n v="4"/>
    <n v="229.1"/>
    <s v="729 Main St"/>
    <x v="3"/>
    <x v="2"/>
    <s v="TRK77172975"/>
    <n v="8"/>
    <s v="WINTER15"/>
    <x v="2"/>
    <n v="916.4"/>
    <n v="916.4"/>
    <x v="6"/>
    <s v="Q2"/>
    <x v="0"/>
    <s v="Pending"/>
    <s v="Yes"/>
  </r>
  <r>
    <x v="207"/>
    <d v="2025-03-18T00:00:00"/>
    <s v="C54595"/>
    <x v="1"/>
    <n v="1"/>
    <n v="121.96"/>
    <s v="999 Main St"/>
    <x v="0"/>
    <x v="3"/>
    <s v="TRK44416659"/>
    <n v="3"/>
    <m/>
    <x v="4"/>
    <n v="121.96"/>
    <n v="121.96"/>
    <x v="9"/>
    <s v="Q1"/>
    <x v="1"/>
    <s v="Completed"/>
    <s v="No"/>
  </r>
  <r>
    <x v="208"/>
    <d v="2024-10-08T00:00:00"/>
    <s v="C87777"/>
    <x v="6"/>
    <n v="2"/>
    <n v="408.32"/>
    <s v="597 Main St"/>
    <x v="1"/>
    <x v="0"/>
    <s v="TRK29003608"/>
    <n v="3"/>
    <s v="FREESHIP"/>
    <x v="3"/>
    <n v="816.64"/>
    <n v="816.64"/>
    <x v="3"/>
    <s v="Q4"/>
    <x v="0"/>
    <s v="Pending"/>
    <s v="Yes"/>
  </r>
  <r>
    <x v="209"/>
    <d v="2023-08-29T00:00:00"/>
    <s v="C35854"/>
    <x v="2"/>
    <n v="5"/>
    <n v="187.97"/>
    <s v="706 Main St"/>
    <x v="4"/>
    <x v="2"/>
    <s v="TRK30615168"/>
    <n v="9"/>
    <s v="SAVE10"/>
    <x v="4"/>
    <n v="939.85"/>
    <n v="939.85"/>
    <x v="1"/>
    <s v="Q3"/>
    <x v="0"/>
    <s v="Pending"/>
    <s v="Yes"/>
  </r>
  <r>
    <x v="210"/>
    <d v="2024-12-05T00:00:00"/>
    <s v="C93821"/>
    <x v="3"/>
    <n v="3"/>
    <n v="358.48"/>
    <s v="513 Main St"/>
    <x v="3"/>
    <x v="3"/>
    <s v="TRK10658539"/>
    <n v="7"/>
    <s v="FREESHIP"/>
    <x v="3"/>
    <n v="1075.44"/>
    <n v="1075.44"/>
    <x v="8"/>
    <s v="Q4"/>
    <x v="0"/>
    <s v="Completed"/>
    <s v="Yes"/>
  </r>
  <r>
    <x v="211"/>
    <d v="2025-01-03T00:00:00"/>
    <s v="C54390"/>
    <x v="4"/>
    <n v="3"/>
    <n v="193.58"/>
    <s v="185 Main St"/>
    <x v="3"/>
    <x v="4"/>
    <s v="TRK83853742"/>
    <n v="7"/>
    <s v="FREESHIP"/>
    <x v="2"/>
    <n v="580.74"/>
    <n v="580.74"/>
    <x v="0"/>
    <s v="Q1"/>
    <x v="0"/>
    <s v="Pending"/>
    <s v="Yes"/>
  </r>
  <r>
    <x v="212"/>
    <d v="2023-06-20T00:00:00"/>
    <s v="C53215"/>
    <x v="0"/>
    <n v="1"/>
    <n v="265.38"/>
    <s v="367 Main St"/>
    <x v="2"/>
    <x v="1"/>
    <s v="TRK34751835"/>
    <n v="6"/>
    <s v="WINTER15"/>
    <x v="2"/>
    <n v="265.38"/>
    <n v="265.38"/>
    <x v="5"/>
    <s v="Q2"/>
    <x v="1"/>
    <s v="Pending"/>
    <s v="Yes"/>
  </r>
  <r>
    <x v="213"/>
    <d v="2023-04-20T00:00:00"/>
    <s v="C71122"/>
    <x v="5"/>
    <n v="1"/>
    <n v="634.4"/>
    <s v="317 Main St"/>
    <x v="4"/>
    <x v="1"/>
    <s v="TRK54757882"/>
    <n v="6"/>
    <s v="SAVE10"/>
    <x v="2"/>
    <n v="634.4"/>
    <n v="634.4"/>
    <x v="6"/>
    <s v="Q2"/>
    <x v="0"/>
    <s v="Pending"/>
    <s v="Yes"/>
  </r>
  <r>
    <x v="214"/>
    <d v="2024-08-21T00:00:00"/>
    <s v="C29483"/>
    <x v="6"/>
    <n v="4"/>
    <n v="305.72000000000003"/>
    <s v="673 Main St"/>
    <x v="1"/>
    <x v="3"/>
    <s v="TRK89423603"/>
    <n v="5"/>
    <m/>
    <x v="3"/>
    <n v="1222.8800000000001"/>
    <n v="1222.8800000000001"/>
    <x v="1"/>
    <s v="Q3"/>
    <x v="0"/>
    <s v="Completed"/>
    <s v="No"/>
  </r>
  <r>
    <x v="215"/>
    <d v="2023-08-10T00:00:00"/>
    <s v="C26767"/>
    <x v="4"/>
    <n v="1"/>
    <n v="303.60000000000002"/>
    <s v="432 Main St"/>
    <x v="4"/>
    <x v="0"/>
    <s v="TRK24585307"/>
    <n v="5"/>
    <s v="FREESHIP"/>
    <x v="3"/>
    <n v="303.60000000000002"/>
    <n v="303.60000000000002"/>
    <x v="1"/>
    <s v="Q3"/>
    <x v="1"/>
    <s v="Pending"/>
    <s v="Yes"/>
  </r>
  <r>
    <x v="216"/>
    <d v="2025-04-15T00:00:00"/>
    <s v="C70492"/>
    <x v="0"/>
    <n v="4"/>
    <n v="496"/>
    <s v="811 Main St"/>
    <x v="1"/>
    <x v="1"/>
    <s v="TRK84625405"/>
    <n v="8"/>
    <s v="WINTER15"/>
    <x v="4"/>
    <n v="1984"/>
    <n v="1984"/>
    <x v="6"/>
    <s v="Q2"/>
    <x v="0"/>
    <s v="Pending"/>
    <s v="Yes"/>
  </r>
  <r>
    <x v="217"/>
    <d v="2024-05-20T00:00:00"/>
    <s v="C61549"/>
    <x v="6"/>
    <n v="4"/>
    <n v="321.51"/>
    <s v="908 Main St"/>
    <x v="4"/>
    <x v="2"/>
    <s v="TRK65596914"/>
    <n v="9"/>
    <m/>
    <x v="4"/>
    <n v="1286.04"/>
    <n v="1286.04"/>
    <x v="4"/>
    <s v="Q2"/>
    <x v="0"/>
    <s v="Pending"/>
    <s v="No"/>
  </r>
  <r>
    <x v="218"/>
    <d v="2023-04-28T00:00:00"/>
    <s v="C11665"/>
    <x v="2"/>
    <n v="3"/>
    <n v="112.46"/>
    <s v="882 Main St"/>
    <x v="3"/>
    <x v="0"/>
    <s v="TRK10993930"/>
    <n v="6"/>
    <s v="SAVE10"/>
    <x v="0"/>
    <n v="337.38"/>
    <n v="337.38"/>
    <x v="6"/>
    <s v="Q2"/>
    <x v="1"/>
    <s v="Pending"/>
    <s v="Yes"/>
  </r>
  <r>
    <x v="219"/>
    <d v="2025-05-02T00:00:00"/>
    <s v="C48946"/>
    <x v="5"/>
    <n v="5"/>
    <n v="61.97"/>
    <s v="457 Main St"/>
    <x v="4"/>
    <x v="3"/>
    <s v="TRK99387220"/>
    <n v="6"/>
    <s v="SAVE10"/>
    <x v="2"/>
    <n v="309.85000000000002"/>
    <n v="309.85000000000002"/>
    <x v="4"/>
    <s v="Q2"/>
    <x v="1"/>
    <s v="Completed"/>
    <s v="Yes"/>
  </r>
  <r>
    <x v="220"/>
    <d v="2023-07-18T00:00:00"/>
    <s v="C79506"/>
    <x v="5"/>
    <n v="2"/>
    <n v="373.17"/>
    <s v="497 Main St"/>
    <x v="2"/>
    <x v="4"/>
    <s v="TRK95188748"/>
    <n v="6"/>
    <s v="SAVE10"/>
    <x v="1"/>
    <n v="746.34"/>
    <n v="746.34"/>
    <x v="10"/>
    <s v="Q3"/>
    <x v="0"/>
    <s v="Pending"/>
    <s v="Yes"/>
  </r>
  <r>
    <x v="221"/>
    <d v="2024-02-23T00:00:00"/>
    <s v="C93473"/>
    <x v="2"/>
    <n v="5"/>
    <n v="639.37"/>
    <s v="552 Main St"/>
    <x v="0"/>
    <x v="4"/>
    <s v="TRK50003989"/>
    <n v="6"/>
    <s v="SAVE10"/>
    <x v="4"/>
    <n v="3196.85"/>
    <n v="3196.85"/>
    <x v="2"/>
    <s v="Q1"/>
    <x v="0"/>
    <s v="Pending"/>
    <s v="Yes"/>
  </r>
  <r>
    <x v="222"/>
    <d v="2023-05-04T00:00:00"/>
    <s v="C43124"/>
    <x v="3"/>
    <n v="4"/>
    <n v="693.36"/>
    <s v="931 Main St"/>
    <x v="1"/>
    <x v="0"/>
    <s v="TRK17293348"/>
    <n v="8"/>
    <m/>
    <x v="0"/>
    <n v="2773.44"/>
    <n v="2773.44"/>
    <x v="4"/>
    <s v="Q2"/>
    <x v="0"/>
    <s v="Pending"/>
    <s v="No"/>
  </r>
  <r>
    <x v="223"/>
    <d v="2024-09-11T00:00:00"/>
    <s v="C22783"/>
    <x v="1"/>
    <n v="4"/>
    <n v="692.91"/>
    <s v="673 Main St"/>
    <x v="2"/>
    <x v="4"/>
    <s v="TRK55009149"/>
    <n v="9"/>
    <s v="SAVE10"/>
    <x v="0"/>
    <n v="2771.64"/>
    <n v="2771.64"/>
    <x v="11"/>
    <s v="Q3"/>
    <x v="0"/>
    <s v="Pending"/>
    <s v="Yes"/>
  </r>
  <r>
    <x v="224"/>
    <d v="2023-09-23T00:00:00"/>
    <s v="C18567"/>
    <x v="4"/>
    <n v="4"/>
    <n v="91.46"/>
    <s v="507 Main St"/>
    <x v="4"/>
    <x v="1"/>
    <s v="TRK17554673"/>
    <n v="9"/>
    <s v="SAVE10"/>
    <x v="1"/>
    <n v="365.84"/>
    <n v="365.84"/>
    <x v="11"/>
    <s v="Q3"/>
    <x v="1"/>
    <s v="Pending"/>
    <s v="Yes"/>
  </r>
  <r>
    <x v="225"/>
    <d v="2024-03-13T00:00:00"/>
    <s v="C99879"/>
    <x v="1"/>
    <n v="3"/>
    <n v="273.95999999999998"/>
    <s v="692 Main St"/>
    <x v="0"/>
    <x v="2"/>
    <s v="TRK50246700"/>
    <n v="8"/>
    <s v="SAVE10"/>
    <x v="4"/>
    <n v="821.87999999999988"/>
    <n v="821.87999999999988"/>
    <x v="9"/>
    <s v="Q1"/>
    <x v="0"/>
    <s v="Pending"/>
    <s v="Yes"/>
  </r>
  <r>
    <x v="226"/>
    <d v="2025-06-27T00:00:00"/>
    <s v="C31501"/>
    <x v="6"/>
    <n v="3"/>
    <n v="588.04999999999995"/>
    <s v="242 Main St"/>
    <x v="3"/>
    <x v="3"/>
    <s v="TRK93063929"/>
    <n v="8"/>
    <m/>
    <x v="0"/>
    <n v="1764.15"/>
    <n v="1764.1499999999999"/>
    <x v="5"/>
    <s v="Q2"/>
    <x v="0"/>
    <s v="Completed"/>
    <s v="No"/>
  </r>
  <r>
    <x v="227"/>
    <d v="2023-11-02T00:00:00"/>
    <s v="C93220"/>
    <x v="0"/>
    <n v="2"/>
    <n v="365.17"/>
    <s v="353 Main St"/>
    <x v="1"/>
    <x v="1"/>
    <s v="TRK89023251"/>
    <n v="4"/>
    <s v="FREESHIP"/>
    <x v="3"/>
    <n v="730.34"/>
    <n v="730.34"/>
    <x v="7"/>
    <s v="Q4"/>
    <x v="0"/>
    <s v="Pending"/>
    <s v="Yes"/>
  </r>
  <r>
    <x v="228"/>
    <d v="2023-05-17T00:00:00"/>
    <s v="C57867"/>
    <x v="3"/>
    <n v="4"/>
    <n v="385.92"/>
    <s v="579 Main St"/>
    <x v="2"/>
    <x v="1"/>
    <s v="TRK92055007"/>
    <n v="8"/>
    <m/>
    <x v="0"/>
    <n v="1543.68"/>
    <n v="1543.68"/>
    <x v="4"/>
    <s v="Q2"/>
    <x v="0"/>
    <s v="Pending"/>
    <s v="No"/>
  </r>
  <r>
    <x v="229"/>
    <d v="2025-03-28T00:00:00"/>
    <s v="C62622"/>
    <x v="2"/>
    <n v="1"/>
    <n v="562.61"/>
    <s v="762 Main St"/>
    <x v="2"/>
    <x v="3"/>
    <s v="TRK70997648"/>
    <n v="3"/>
    <s v="WINTER15"/>
    <x v="3"/>
    <n v="562.61"/>
    <n v="562.61"/>
    <x v="9"/>
    <s v="Q1"/>
    <x v="0"/>
    <s v="Completed"/>
    <s v="Yes"/>
  </r>
  <r>
    <x v="230"/>
    <d v="2023-12-16T00:00:00"/>
    <s v="C94595"/>
    <x v="6"/>
    <n v="4"/>
    <n v="61.91"/>
    <s v="948 Main St"/>
    <x v="3"/>
    <x v="3"/>
    <s v="TRK24497305"/>
    <n v="6"/>
    <s v="WINTER15"/>
    <x v="2"/>
    <n v="247.64"/>
    <n v="247.64"/>
    <x v="8"/>
    <s v="Q4"/>
    <x v="1"/>
    <s v="Completed"/>
    <s v="Yes"/>
  </r>
  <r>
    <x v="231"/>
    <d v="2023-11-05T00:00:00"/>
    <s v="C30955"/>
    <x v="1"/>
    <n v="4"/>
    <n v="41.9"/>
    <s v="327 Main St"/>
    <x v="3"/>
    <x v="4"/>
    <s v="TRK46898848"/>
    <n v="9"/>
    <s v="FREESHIP"/>
    <x v="0"/>
    <n v="167.6"/>
    <n v="167.6"/>
    <x v="7"/>
    <s v="Q4"/>
    <x v="1"/>
    <s v="Pending"/>
    <s v="Yes"/>
  </r>
  <r>
    <x v="232"/>
    <d v="2023-05-19T00:00:00"/>
    <s v="C20731"/>
    <x v="4"/>
    <n v="4"/>
    <n v="444.44"/>
    <s v="610 Main St"/>
    <x v="0"/>
    <x v="1"/>
    <s v="TRK75568437"/>
    <n v="8"/>
    <s v="WINTER15"/>
    <x v="4"/>
    <n v="1777.76"/>
    <n v="1777.76"/>
    <x v="4"/>
    <s v="Q2"/>
    <x v="0"/>
    <s v="Pending"/>
    <s v="Yes"/>
  </r>
  <r>
    <x v="233"/>
    <d v="2024-08-24T00:00:00"/>
    <s v="C30168"/>
    <x v="1"/>
    <n v="3"/>
    <n v="311.33"/>
    <s v="146 Main St"/>
    <x v="4"/>
    <x v="1"/>
    <s v="TRK73699939"/>
    <n v="3"/>
    <s v="WINTER15"/>
    <x v="0"/>
    <n v="933.99"/>
    <n v="933.99"/>
    <x v="1"/>
    <s v="Q3"/>
    <x v="0"/>
    <s v="Pending"/>
    <s v="Yes"/>
  </r>
  <r>
    <x v="234"/>
    <d v="2024-11-26T00:00:00"/>
    <s v="C79842"/>
    <x v="4"/>
    <n v="4"/>
    <n v="236.41"/>
    <s v="337 Main St"/>
    <x v="0"/>
    <x v="4"/>
    <s v="TRK26957950"/>
    <n v="7"/>
    <s v="SAVE10"/>
    <x v="4"/>
    <n v="945.64"/>
    <n v="945.64"/>
    <x v="7"/>
    <s v="Q4"/>
    <x v="0"/>
    <s v="Pending"/>
    <s v="Yes"/>
  </r>
  <r>
    <x v="235"/>
    <d v="2023-02-20T00:00:00"/>
    <s v="C32854"/>
    <x v="6"/>
    <n v="1"/>
    <n v="65.45"/>
    <s v="815 Main St"/>
    <x v="4"/>
    <x v="4"/>
    <s v="TRK30009218"/>
    <n v="2"/>
    <s v="WINTER15"/>
    <x v="4"/>
    <n v="65.45"/>
    <n v="65.45"/>
    <x v="2"/>
    <s v="Q1"/>
    <x v="2"/>
    <s v="Pending"/>
    <s v="Yes"/>
  </r>
  <r>
    <x v="236"/>
    <d v="2023-01-01T00:00:00"/>
    <s v="C14847"/>
    <x v="0"/>
    <n v="1"/>
    <n v="318.81"/>
    <s v="562 Main St"/>
    <x v="0"/>
    <x v="4"/>
    <s v="TRK39663243"/>
    <n v="3"/>
    <s v="WINTER15"/>
    <x v="2"/>
    <n v="318.81"/>
    <n v="318.81"/>
    <x v="0"/>
    <s v="Q1"/>
    <x v="1"/>
    <s v="Pending"/>
    <s v="Yes"/>
  </r>
  <r>
    <x v="237"/>
    <d v="2024-03-14T00:00:00"/>
    <s v="C88645"/>
    <x v="0"/>
    <n v="3"/>
    <n v="583.72"/>
    <s v="783 Main St"/>
    <x v="2"/>
    <x v="0"/>
    <s v="TRK74097570"/>
    <n v="5"/>
    <s v="FREESHIP"/>
    <x v="3"/>
    <n v="1751.16"/>
    <n v="1751.16"/>
    <x v="9"/>
    <s v="Q1"/>
    <x v="0"/>
    <s v="Pending"/>
    <s v="Yes"/>
  </r>
  <r>
    <x v="238"/>
    <d v="2024-12-13T00:00:00"/>
    <s v="C66149"/>
    <x v="6"/>
    <n v="4"/>
    <n v="384.32"/>
    <s v="770 Main St"/>
    <x v="2"/>
    <x v="4"/>
    <s v="TRK76307307"/>
    <n v="6"/>
    <s v="WINTER15"/>
    <x v="4"/>
    <n v="1537.28"/>
    <n v="1537.28"/>
    <x v="8"/>
    <s v="Q4"/>
    <x v="0"/>
    <s v="Pending"/>
    <s v="Yes"/>
  </r>
  <r>
    <x v="239"/>
    <d v="2024-12-11T00:00:00"/>
    <s v="C20256"/>
    <x v="2"/>
    <n v="3"/>
    <n v="538.74"/>
    <s v="456 Main St"/>
    <x v="1"/>
    <x v="0"/>
    <s v="TRK71127943"/>
    <n v="6"/>
    <s v="FREESHIP"/>
    <x v="2"/>
    <n v="1616.22"/>
    <n v="1616.22"/>
    <x v="8"/>
    <s v="Q4"/>
    <x v="0"/>
    <s v="Pending"/>
    <s v="Yes"/>
  </r>
  <r>
    <x v="240"/>
    <d v="2023-07-12T00:00:00"/>
    <s v="C14983"/>
    <x v="2"/>
    <n v="1"/>
    <n v="17.239999999999998"/>
    <s v="255 Main St"/>
    <x v="1"/>
    <x v="4"/>
    <s v="TRK93444157"/>
    <n v="2"/>
    <s v="FREESHIP"/>
    <x v="0"/>
    <n v="17.239999999999998"/>
    <n v="17.239999999999998"/>
    <x v="10"/>
    <s v="Q3"/>
    <x v="2"/>
    <s v="Pending"/>
    <s v="Yes"/>
  </r>
  <r>
    <x v="241"/>
    <d v="2023-05-16T00:00:00"/>
    <s v="C20817"/>
    <x v="3"/>
    <n v="5"/>
    <n v="615.66999999999996"/>
    <s v="407 Main St"/>
    <x v="1"/>
    <x v="4"/>
    <s v="TRK44164590"/>
    <n v="6"/>
    <s v="SAVE10"/>
    <x v="2"/>
    <n v="3078.35"/>
    <n v="3078.35"/>
    <x v="4"/>
    <s v="Q2"/>
    <x v="0"/>
    <s v="Pending"/>
    <s v="Yes"/>
  </r>
  <r>
    <x v="242"/>
    <d v="2023-05-09T00:00:00"/>
    <s v="C94921"/>
    <x v="4"/>
    <n v="2"/>
    <n v="219.1"/>
    <s v="134 Main St"/>
    <x v="1"/>
    <x v="4"/>
    <s v="TRK97794327"/>
    <n v="4"/>
    <s v="SAVE10"/>
    <x v="1"/>
    <n v="438.2"/>
    <n v="438.2"/>
    <x v="4"/>
    <s v="Q2"/>
    <x v="1"/>
    <s v="Pending"/>
    <s v="Yes"/>
  </r>
  <r>
    <x v="243"/>
    <d v="2025-05-09T00:00:00"/>
    <s v="C54725"/>
    <x v="3"/>
    <n v="2"/>
    <n v="144.66"/>
    <s v="506 Main St"/>
    <x v="1"/>
    <x v="1"/>
    <s v="TRK30601940"/>
    <n v="7"/>
    <s v="FREESHIP"/>
    <x v="4"/>
    <n v="289.32"/>
    <n v="289.32"/>
    <x v="4"/>
    <s v="Q2"/>
    <x v="1"/>
    <s v="Pending"/>
    <s v="Yes"/>
  </r>
  <r>
    <x v="244"/>
    <d v="2023-02-16T00:00:00"/>
    <s v="C98096"/>
    <x v="6"/>
    <n v="2"/>
    <n v="317.77"/>
    <s v="838 Main St"/>
    <x v="0"/>
    <x v="1"/>
    <s v="TRK51518631"/>
    <n v="4"/>
    <s v="WINTER15"/>
    <x v="3"/>
    <n v="635.54"/>
    <n v="635.54"/>
    <x v="2"/>
    <s v="Q1"/>
    <x v="0"/>
    <s v="Pending"/>
    <s v="Yes"/>
  </r>
  <r>
    <x v="245"/>
    <d v="2025-04-20T00:00:00"/>
    <s v="C12667"/>
    <x v="5"/>
    <n v="1"/>
    <n v="223.3"/>
    <s v="306 Main St"/>
    <x v="1"/>
    <x v="2"/>
    <s v="TRK25390491"/>
    <n v="1"/>
    <m/>
    <x v="3"/>
    <n v="223.3"/>
    <n v="223.3"/>
    <x v="6"/>
    <s v="Q2"/>
    <x v="1"/>
    <s v="Pending"/>
    <s v="No"/>
  </r>
  <r>
    <x v="246"/>
    <d v="2024-08-30T00:00:00"/>
    <s v="C55354"/>
    <x v="6"/>
    <n v="2"/>
    <n v="342.11"/>
    <s v="164 Main St"/>
    <x v="3"/>
    <x v="0"/>
    <s v="TRK15439493"/>
    <n v="2"/>
    <s v="WINTER15"/>
    <x v="0"/>
    <n v="684.22"/>
    <n v="684.22"/>
    <x v="1"/>
    <s v="Q3"/>
    <x v="0"/>
    <s v="Pending"/>
    <s v="Yes"/>
  </r>
  <r>
    <x v="247"/>
    <d v="2023-07-20T00:00:00"/>
    <s v="C14600"/>
    <x v="4"/>
    <n v="2"/>
    <n v="220.9"/>
    <s v="785 Main St"/>
    <x v="3"/>
    <x v="0"/>
    <s v="TRK84984764"/>
    <n v="4"/>
    <m/>
    <x v="2"/>
    <n v="441.8"/>
    <n v="441.8"/>
    <x v="10"/>
    <s v="Q3"/>
    <x v="1"/>
    <s v="Pending"/>
    <s v="No"/>
  </r>
  <r>
    <x v="248"/>
    <d v="2023-07-02T00:00:00"/>
    <s v="C97187"/>
    <x v="5"/>
    <n v="1"/>
    <n v="670.54"/>
    <s v="471 Main St"/>
    <x v="4"/>
    <x v="0"/>
    <s v="TRK62283713"/>
    <n v="6"/>
    <s v="FREESHIP"/>
    <x v="1"/>
    <n v="670.54"/>
    <n v="670.54"/>
    <x v="10"/>
    <s v="Q3"/>
    <x v="0"/>
    <s v="Pending"/>
    <s v="Yes"/>
  </r>
  <r>
    <x v="249"/>
    <d v="2024-02-07T00:00:00"/>
    <s v="C39106"/>
    <x v="4"/>
    <n v="1"/>
    <n v="546.19000000000005"/>
    <s v="245 Main St"/>
    <x v="4"/>
    <x v="4"/>
    <s v="TRK35464433"/>
    <n v="5"/>
    <s v="FREESHIP"/>
    <x v="1"/>
    <n v="546.19000000000005"/>
    <n v="546.19000000000005"/>
    <x v="2"/>
    <s v="Q1"/>
    <x v="0"/>
    <s v="Pending"/>
    <s v="Yes"/>
  </r>
  <r>
    <x v="250"/>
    <d v="2023-04-05T00:00:00"/>
    <s v="C93379"/>
    <x v="6"/>
    <n v="3"/>
    <n v="42.95"/>
    <s v="318 Main St"/>
    <x v="3"/>
    <x v="2"/>
    <s v="TRK67954150"/>
    <n v="8"/>
    <s v="SAVE10"/>
    <x v="2"/>
    <n v="128.85"/>
    <n v="128.85000000000002"/>
    <x v="6"/>
    <s v="Q2"/>
    <x v="1"/>
    <s v="Pending"/>
    <s v="Yes"/>
  </r>
  <r>
    <x v="251"/>
    <d v="2025-05-15T00:00:00"/>
    <s v="C93175"/>
    <x v="0"/>
    <n v="4"/>
    <n v="14.69"/>
    <s v="814 Main St"/>
    <x v="4"/>
    <x v="1"/>
    <s v="TRK32995144"/>
    <n v="9"/>
    <m/>
    <x v="2"/>
    <n v="58.76"/>
    <n v="58.76"/>
    <x v="4"/>
    <s v="Q2"/>
    <x v="2"/>
    <s v="Pending"/>
    <s v="No"/>
  </r>
  <r>
    <x v="252"/>
    <d v="2024-09-20T00:00:00"/>
    <s v="C19648"/>
    <x v="1"/>
    <n v="4"/>
    <n v="668.36"/>
    <s v="821 Main St"/>
    <x v="3"/>
    <x v="1"/>
    <s v="TRK51297879"/>
    <n v="5"/>
    <s v="FREESHIP"/>
    <x v="3"/>
    <n v="2673.44"/>
    <n v="2673.44"/>
    <x v="11"/>
    <s v="Q3"/>
    <x v="0"/>
    <s v="Pending"/>
    <s v="Yes"/>
  </r>
  <r>
    <x v="253"/>
    <d v="2024-03-23T00:00:00"/>
    <s v="C14891"/>
    <x v="3"/>
    <n v="4"/>
    <n v="413.74"/>
    <s v="743 Main St"/>
    <x v="3"/>
    <x v="2"/>
    <s v="TRK79471534"/>
    <n v="7"/>
    <s v="FREESHIP"/>
    <x v="0"/>
    <n v="1654.96"/>
    <n v="1654.96"/>
    <x v="9"/>
    <s v="Q1"/>
    <x v="0"/>
    <s v="Pending"/>
    <s v="Yes"/>
  </r>
  <r>
    <x v="254"/>
    <d v="2023-12-26T00:00:00"/>
    <s v="C10866"/>
    <x v="0"/>
    <n v="3"/>
    <n v="263.19"/>
    <s v="770 Main St"/>
    <x v="1"/>
    <x v="3"/>
    <s v="TRK34809583"/>
    <n v="5"/>
    <m/>
    <x v="0"/>
    <n v="789.56999999999994"/>
    <n v="789.56999999999994"/>
    <x v="8"/>
    <s v="Q4"/>
    <x v="0"/>
    <s v="Completed"/>
    <s v="No"/>
  </r>
  <r>
    <x v="255"/>
    <d v="2024-05-13T00:00:00"/>
    <s v="C47283"/>
    <x v="0"/>
    <n v="1"/>
    <n v="263.95999999999998"/>
    <s v="806 Main St"/>
    <x v="3"/>
    <x v="2"/>
    <s v="TRK56235117"/>
    <n v="2"/>
    <s v="SAVE10"/>
    <x v="4"/>
    <n v="263.95999999999998"/>
    <n v="263.95999999999998"/>
    <x v="4"/>
    <s v="Q2"/>
    <x v="1"/>
    <s v="Pending"/>
    <s v="Yes"/>
  </r>
  <r>
    <x v="256"/>
    <d v="2025-06-30T00:00:00"/>
    <s v="C94323"/>
    <x v="3"/>
    <n v="5"/>
    <n v="75.81"/>
    <s v="463 Main St"/>
    <x v="3"/>
    <x v="2"/>
    <s v="TRK22663277"/>
    <n v="10"/>
    <s v="WINTER15"/>
    <x v="0"/>
    <n v="379.05"/>
    <n v="379.05"/>
    <x v="5"/>
    <s v="Q2"/>
    <x v="1"/>
    <s v="Pending"/>
    <s v="Yes"/>
  </r>
  <r>
    <x v="257"/>
    <d v="2024-04-23T00:00:00"/>
    <s v="C89732"/>
    <x v="1"/>
    <n v="1"/>
    <n v="406.22"/>
    <s v="712 Main St"/>
    <x v="2"/>
    <x v="1"/>
    <s v="TRK41059233"/>
    <n v="5"/>
    <s v="SAVE10"/>
    <x v="1"/>
    <n v="406.22"/>
    <n v="406.22"/>
    <x v="6"/>
    <s v="Q2"/>
    <x v="1"/>
    <s v="Pending"/>
    <s v="Yes"/>
  </r>
  <r>
    <x v="258"/>
    <d v="2024-02-26T00:00:00"/>
    <s v="C87764"/>
    <x v="2"/>
    <n v="2"/>
    <n v="103.41"/>
    <s v="294 Main St"/>
    <x v="1"/>
    <x v="0"/>
    <s v="TRK94082469"/>
    <n v="2"/>
    <s v="FREESHIP"/>
    <x v="1"/>
    <n v="206.82"/>
    <n v="206.82"/>
    <x v="2"/>
    <s v="Q1"/>
    <x v="1"/>
    <s v="Pending"/>
    <s v="Yes"/>
  </r>
  <r>
    <x v="259"/>
    <d v="2023-06-11T00:00:00"/>
    <s v="C20977"/>
    <x v="3"/>
    <n v="4"/>
    <n v="435.12"/>
    <s v="636 Main St"/>
    <x v="2"/>
    <x v="3"/>
    <s v="TRK54991561"/>
    <n v="9"/>
    <s v="SAVE10"/>
    <x v="0"/>
    <n v="1740.48"/>
    <n v="1740.48"/>
    <x v="5"/>
    <s v="Q2"/>
    <x v="0"/>
    <s v="Completed"/>
    <s v="Yes"/>
  </r>
  <r>
    <x v="260"/>
    <d v="2023-05-17T00:00:00"/>
    <s v="C12245"/>
    <x v="0"/>
    <n v="2"/>
    <n v="407.79"/>
    <s v="153 Main St"/>
    <x v="0"/>
    <x v="0"/>
    <s v="TRK22000463"/>
    <n v="3"/>
    <m/>
    <x v="4"/>
    <n v="815.58"/>
    <n v="815.58"/>
    <x v="4"/>
    <s v="Q2"/>
    <x v="0"/>
    <s v="Pending"/>
    <s v="No"/>
  </r>
  <r>
    <x v="261"/>
    <d v="2025-05-28T00:00:00"/>
    <s v="C68976"/>
    <x v="1"/>
    <n v="5"/>
    <n v="173.65"/>
    <s v="460 Main St"/>
    <x v="3"/>
    <x v="3"/>
    <s v="TRK25491356"/>
    <n v="9"/>
    <s v="SAVE10"/>
    <x v="2"/>
    <n v="868.25"/>
    <n v="868.25"/>
    <x v="4"/>
    <s v="Q2"/>
    <x v="0"/>
    <s v="Completed"/>
    <s v="Yes"/>
  </r>
  <r>
    <x v="262"/>
    <d v="2023-01-10T00:00:00"/>
    <s v="C69476"/>
    <x v="1"/>
    <n v="4"/>
    <n v="249.07"/>
    <s v="642 Main St"/>
    <x v="2"/>
    <x v="2"/>
    <s v="TRK65869386"/>
    <n v="5"/>
    <s v="WINTER15"/>
    <x v="1"/>
    <n v="996.28"/>
    <n v="996.28"/>
    <x v="0"/>
    <s v="Q1"/>
    <x v="0"/>
    <s v="Pending"/>
    <s v="Yes"/>
  </r>
  <r>
    <x v="263"/>
    <d v="2023-03-25T00:00:00"/>
    <s v="C71040"/>
    <x v="1"/>
    <n v="4"/>
    <n v="434.85"/>
    <s v="250 Main St"/>
    <x v="2"/>
    <x v="4"/>
    <s v="TRK41397604"/>
    <n v="4"/>
    <s v="WINTER15"/>
    <x v="4"/>
    <n v="1739.4"/>
    <n v="1739.4"/>
    <x v="9"/>
    <s v="Q1"/>
    <x v="0"/>
    <s v="Pending"/>
    <s v="Yes"/>
  </r>
  <r>
    <x v="264"/>
    <d v="2024-08-03T00:00:00"/>
    <s v="C71035"/>
    <x v="2"/>
    <n v="1"/>
    <n v="436.77"/>
    <s v="977 Main St"/>
    <x v="4"/>
    <x v="2"/>
    <s v="TRK19599578"/>
    <n v="5"/>
    <s v="FREESHIP"/>
    <x v="4"/>
    <n v="436.77"/>
    <n v="436.77"/>
    <x v="1"/>
    <s v="Q3"/>
    <x v="1"/>
    <s v="Pending"/>
    <s v="Yes"/>
  </r>
  <r>
    <x v="265"/>
    <d v="2023-12-22T00:00:00"/>
    <s v="C20752"/>
    <x v="4"/>
    <n v="1"/>
    <n v="572.13"/>
    <s v="150 Main St"/>
    <x v="0"/>
    <x v="1"/>
    <s v="TRK22298450"/>
    <n v="4"/>
    <s v="SAVE10"/>
    <x v="4"/>
    <n v="572.13"/>
    <n v="572.13"/>
    <x v="8"/>
    <s v="Q4"/>
    <x v="0"/>
    <s v="Pending"/>
    <s v="Yes"/>
  </r>
  <r>
    <x v="266"/>
    <d v="2024-06-08T00:00:00"/>
    <s v="C38840"/>
    <x v="3"/>
    <n v="4"/>
    <n v="583.07000000000005"/>
    <s v="589 Main St"/>
    <x v="2"/>
    <x v="1"/>
    <s v="TRK48484633"/>
    <n v="6"/>
    <s v="FREESHIP"/>
    <x v="1"/>
    <n v="2332.2800000000002"/>
    <n v="2332.2800000000002"/>
    <x v="5"/>
    <s v="Q2"/>
    <x v="0"/>
    <s v="Pending"/>
    <s v="Yes"/>
  </r>
  <r>
    <x v="267"/>
    <d v="2025-04-17T00:00:00"/>
    <s v="C84480"/>
    <x v="3"/>
    <n v="5"/>
    <n v="468.51"/>
    <s v="803 Main St"/>
    <x v="0"/>
    <x v="3"/>
    <s v="TRK62361867"/>
    <n v="9"/>
    <m/>
    <x v="3"/>
    <n v="2342.5500000000002"/>
    <n v="2342.5500000000002"/>
    <x v="6"/>
    <s v="Q2"/>
    <x v="0"/>
    <s v="Completed"/>
    <s v="No"/>
  </r>
  <r>
    <x v="268"/>
    <d v="2023-08-11T00:00:00"/>
    <s v="C37032"/>
    <x v="1"/>
    <n v="2"/>
    <n v="423.88"/>
    <s v="655 Main St"/>
    <x v="0"/>
    <x v="3"/>
    <s v="TRK48639226"/>
    <n v="7"/>
    <s v="SAVE10"/>
    <x v="1"/>
    <n v="847.76"/>
    <n v="847.76"/>
    <x v="1"/>
    <s v="Q3"/>
    <x v="0"/>
    <s v="Completed"/>
    <s v="Yes"/>
  </r>
  <r>
    <x v="269"/>
    <d v="2023-11-25T00:00:00"/>
    <s v="C48942"/>
    <x v="2"/>
    <n v="4"/>
    <n v="663.67"/>
    <s v="129 Main St"/>
    <x v="2"/>
    <x v="4"/>
    <s v="TRK29355120"/>
    <n v="7"/>
    <s v="FREESHIP"/>
    <x v="4"/>
    <n v="2654.68"/>
    <n v="2654.68"/>
    <x v="7"/>
    <s v="Q4"/>
    <x v="0"/>
    <s v="Pending"/>
    <s v="Yes"/>
  </r>
  <r>
    <x v="270"/>
    <d v="2023-06-04T00:00:00"/>
    <s v="C13540"/>
    <x v="4"/>
    <n v="4"/>
    <n v="309.91000000000003"/>
    <s v="127 Main St"/>
    <x v="0"/>
    <x v="0"/>
    <s v="TRK81087373"/>
    <n v="5"/>
    <s v="WINTER15"/>
    <x v="4"/>
    <n v="1239.6400000000001"/>
    <n v="1239.6400000000001"/>
    <x v="5"/>
    <s v="Q2"/>
    <x v="0"/>
    <s v="Pending"/>
    <s v="Yes"/>
  </r>
  <r>
    <x v="271"/>
    <d v="2023-03-28T00:00:00"/>
    <s v="C59572"/>
    <x v="0"/>
    <n v="1"/>
    <n v="542.07000000000005"/>
    <s v="791 Main St"/>
    <x v="4"/>
    <x v="0"/>
    <s v="TRK16792991"/>
    <n v="6"/>
    <s v="WINTER15"/>
    <x v="1"/>
    <n v="542.07000000000005"/>
    <n v="542.07000000000005"/>
    <x v="9"/>
    <s v="Q1"/>
    <x v="0"/>
    <s v="Pending"/>
    <s v="Yes"/>
  </r>
  <r>
    <x v="272"/>
    <d v="2023-09-19T00:00:00"/>
    <s v="C29758"/>
    <x v="3"/>
    <n v="2"/>
    <n v="399.32"/>
    <s v="119 Main St"/>
    <x v="1"/>
    <x v="4"/>
    <s v="TRK12990043"/>
    <n v="6"/>
    <s v="WINTER15"/>
    <x v="0"/>
    <n v="798.64"/>
    <n v="798.64"/>
    <x v="11"/>
    <s v="Q3"/>
    <x v="0"/>
    <s v="Pending"/>
    <s v="Yes"/>
  </r>
  <r>
    <x v="273"/>
    <d v="2024-10-27T00:00:00"/>
    <s v="C11849"/>
    <x v="2"/>
    <n v="2"/>
    <n v="238.25"/>
    <s v="974 Main St"/>
    <x v="1"/>
    <x v="1"/>
    <s v="TRK91195261"/>
    <n v="7"/>
    <s v="FREESHIP"/>
    <x v="2"/>
    <n v="476.5"/>
    <n v="476.5"/>
    <x v="3"/>
    <s v="Q4"/>
    <x v="1"/>
    <s v="Pending"/>
    <s v="Yes"/>
  </r>
  <r>
    <x v="274"/>
    <d v="2023-02-04T00:00:00"/>
    <s v="C50967"/>
    <x v="1"/>
    <n v="2"/>
    <n v="182.4"/>
    <s v="884 Main St"/>
    <x v="3"/>
    <x v="1"/>
    <s v="TRK65300814"/>
    <n v="5"/>
    <s v="SAVE10"/>
    <x v="1"/>
    <n v="364.8"/>
    <n v="364.8"/>
    <x v="2"/>
    <s v="Q1"/>
    <x v="1"/>
    <s v="Pending"/>
    <s v="Yes"/>
  </r>
  <r>
    <x v="275"/>
    <d v="2023-11-04T00:00:00"/>
    <s v="C80735"/>
    <x v="3"/>
    <n v="2"/>
    <n v="65.069999999999993"/>
    <s v="360 Main St"/>
    <x v="2"/>
    <x v="1"/>
    <s v="TRK99880231"/>
    <n v="4"/>
    <s v="SAVE10"/>
    <x v="4"/>
    <n v="130.13999999999999"/>
    <n v="130.13999999999999"/>
    <x v="7"/>
    <s v="Q4"/>
    <x v="1"/>
    <s v="Pending"/>
    <s v="Yes"/>
  </r>
  <r>
    <x v="276"/>
    <d v="2025-03-29T00:00:00"/>
    <s v="C99050"/>
    <x v="4"/>
    <n v="2"/>
    <n v="600.57000000000005"/>
    <s v="654 Main St"/>
    <x v="0"/>
    <x v="2"/>
    <s v="TRK56927089"/>
    <n v="3"/>
    <s v="WINTER15"/>
    <x v="0"/>
    <n v="1201.1400000000001"/>
    <n v="1201.1400000000001"/>
    <x v="9"/>
    <s v="Q1"/>
    <x v="0"/>
    <s v="Pending"/>
    <s v="Yes"/>
  </r>
  <r>
    <x v="277"/>
    <d v="2024-09-09T00:00:00"/>
    <s v="C11210"/>
    <x v="3"/>
    <n v="5"/>
    <n v="90.92"/>
    <s v="910 Main St"/>
    <x v="2"/>
    <x v="3"/>
    <s v="TRK44929965"/>
    <n v="9"/>
    <s v="SAVE10"/>
    <x v="3"/>
    <n v="454.6"/>
    <n v="454.6"/>
    <x v="11"/>
    <s v="Q3"/>
    <x v="1"/>
    <s v="Completed"/>
    <s v="Yes"/>
  </r>
  <r>
    <x v="278"/>
    <d v="2024-11-18T00:00:00"/>
    <s v="C46015"/>
    <x v="5"/>
    <n v="5"/>
    <n v="362.46"/>
    <s v="299 Main St"/>
    <x v="4"/>
    <x v="3"/>
    <s v="TRK46598430"/>
    <n v="6"/>
    <s v="FREESHIP"/>
    <x v="0"/>
    <n v="1812.3"/>
    <n v="1812.3"/>
    <x v="7"/>
    <s v="Q4"/>
    <x v="0"/>
    <s v="Completed"/>
    <s v="Yes"/>
  </r>
  <r>
    <x v="279"/>
    <d v="2023-10-20T00:00:00"/>
    <s v="C69167"/>
    <x v="3"/>
    <n v="3"/>
    <n v="55.01"/>
    <s v="263 Main St"/>
    <x v="1"/>
    <x v="4"/>
    <s v="TRK12425655"/>
    <n v="7"/>
    <s v="WINTER15"/>
    <x v="2"/>
    <n v="165.03"/>
    <n v="165.03"/>
    <x v="3"/>
    <s v="Q4"/>
    <x v="1"/>
    <s v="Pending"/>
    <s v="Yes"/>
  </r>
  <r>
    <x v="280"/>
    <d v="2023-03-27T00:00:00"/>
    <s v="C55388"/>
    <x v="2"/>
    <n v="3"/>
    <n v="404.62"/>
    <s v="740 Main St"/>
    <x v="3"/>
    <x v="3"/>
    <s v="TRK75741001"/>
    <n v="6"/>
    <s v="FREESHIP"/>
    <x v="0"/>
    <n v="1213.8599999999999"/>
    <n v="1213.8600000000001"/>
    <x v="9"/>
    <s v="Q1"/>
    <x v="0"/>
    <s v="Completed"/>
    <s v="Yes"/>
  </r>
  <r>
    <x v="281"/>
    <d v="2023-07-27T00:00:00"/>
    <s v="C87181"/>
    <x v="6"/>
    <n v="4"/>
    <n v="654.79"/>
    <s v="195 Main St"/>
    <x v="4"/>
    <x v="4"/>
    <s v="TRK60093390"/>
    <n v="9"/>
    <m/>
    <x v="1"/>
    <n v="2619.16"/>
    <n v="2619.16"/>
    <x v="10"/>
    <s v="Q3"/>
    <x v="0"/>
    <s v="Pending"/>
    <s v="No"/>
  </r>
  <r>
    <x v="282"/>
    <d v="2025-04-22T00:00:00"/>
    <s v="C30411"/>
    <x v="4"/>
    <n v="4"/>
    <n v="637.79"/>
    <s v="375 Main St"/>
    <x v="3"/>
    <x v="1"/>
    <s v="TRK71810536"/>
    <n v="9"/>
    <s v="FREESHIP"/>
    <x v="4"/>
    <n v="2551.16"/>
    <n v="2551.16"/>
    <x v="6"/>
    <s v="Q2"/>
    <x v="0"/>
    <s v="Pending"/>
    <s v="Yes"/>
  </r>
  <r>
    <x v="283"/>
    <d v="2025-02-28T00:00:00"/>
    <s v="C39638"/>
    <x v="5"/>
    <n v="4"/>
    <n v="540.33000000000004"/>
    <s v="990 Main St"/>
    <x v="4"/>
    <x v="0"/>
    <s v="TRK69745608"/>
    <n v="6"/>
    <m/>
    <x v="4"/>
    <n v="2161.3200000000002"/>
    <n v="2161.3200000000002"/>
    <x v="2"/>
    <s v="Q1"/>
    <x v="0"/>
    <s v="Pending"/>
    <s v="No"/>
  </r>
  <r>
    <x v="284"/>
    <d v="2023-02-16T00:00:00"/>
    <s v="C27203"/>
    <x v="5"/>
    <n v="5"/>
    <n v="208.17"/>
    <s v="516 Main St"/>
    <x v="2"/>
    <x v="2"/>
    <s v="TRK22023906"/>
    <n v="6"/>
    <s v="SAVE10"/>
    <x v="3"/>
    <n v="1040.8499999999999"/>
    <n v="1040.8499999999999"/>
    <x v="2"/>
    <s v="Q1"/>
    <x v="0"/>
    <s v="Pending"/>
    <s v="Yes"/>
  </r>
  <r>
    <x v="285"/>
    <d v="2025-06-10T00:00:00"/>
    <s v="C67583"/>
    <x v="1"/>
    <n v="1"/>
    <n v="338.31"/>
    <s v="974 Main St"/>
    <x v="1"/>
    <x v="3"/>
    <s v="TRK93281700"/>
    <n v="3"/>
    <m/>
    <x v="4"/>
    <n v="338.31"/>
    <n v="338.31"/>
    <x v="5"/>
    <s v="Q2"/>
    <x v="1"/>
    <s v="Completed"/>
    <s v="No"/>
  </r>
  <r>
    <x v="286"/>
    <d v="2025-04-07T00:00:00"/>
    <s v="C70554"/>
    <x v="0"/>
    <n v="3"/>
    <n v="139.44999999999999"/>
    <s v="187 Main St"/>
    <x v="3"/>
    <x v="2"/>
    <s v="TRK61086952"/>
    <n v="8"/>
    <s v="WINTER15"/>
    <x v="4"/>
    <n v="418.35"/>
    <n v="418.34999999999997"/>
    <x v="6"/>
    <s v="Q2"/>
    <x v="1"/>
    <s v="Pending"/>
    <s v="Yes"/>
  </r>
  <r>
    <x v="287"/>
    <d v="2023-11-24T00:00:00"/>
    <s v="C70437"/>
    <x v="3"/>
    <n v="4"/>
    <n v="655.17999999999995"/>
    <s v="630 Main St"/>
    <x v="1"/>
    <x v="0"/>
    <s v="TRK26628830"/>
    <n v="5"/>
    <m/>
    <x v="3"/>
    <n v="2620.7199999999998"/>
    <n v="2620.7199999999998"/>
    <x v="7"/>
    <s v="Q4"/>
    <x v="0"/>
    <s v="Pending"/>
    <s v="No"/>
  </r>
  <r>
    <x v="288"/>
    <d v="2023-03-12T00:00:00"/>
    <s v="C97643"/>
    <x v="5"/>
    <n v="4"/>
    <n v="512.75"/>
    <s v="537 Main St"/>
    <x v="0"/>
    <x v="2"/>
    <s v="TRK60831391"/>
    <n v="8"/>
    <s v="WINTER15"/>
    <x v="4"/>
    <n v="2051"/>
    <n v="2051"/>
    <x v="9"/>
    <s v="Q1"/>
    <x v="0"/>
    <s v="Pending"/>
    <s v="Yes"/>
  </r>
  <r>
    <x v="289"/>
    <d v="2023-07-26T00:00:00"/>
    <s v="C17136"/>
    <x v="3"/>
    <n v="4"/>
    <n v="160.49"/>
    <s v="333 Main St"/>
    <x v="2"/>
    <x v="0"/>
    <s v="TRK55362541"/>
    <n v="8"/>
    <s v="WINTER15"/>
    <x v="1"/>
    <n v="641.96"/>
    <n v="641.96"/>
    <x v="10"/>
    <s v="Q3"/>
    <x v="0"/>
    <s v="Pending"/>
    <s v="Yes"/>
  </r>
  <r>
    <x v="290"/>
    <d v="2023-05-05T00:00:00"/>
    <s v="C24901"/>
    <x v="3"/>
    <n v="3"/>
    <n v="99.9"/>
    <s v="258 Main St"/>
    <x v="4"/>
    <x v="3"/>
    <s v="TRK14029489"/>
    <n v="8"/>
    <s v="FREESHIP"/>
    <x v="3"/>
    <n v="299.7"/>
    <n v="299.70000000000005"/>
    <x v="4"/>
    <s v="Q2"/>
    <x v="1"/>
    <s v="Completed"/>
    <s v="Yes"/>
  </r>
  <r>
    <x v="291"/>
    <d v="2024-05-12T00:00:00"/>
    <s v="C61521"/>
    <x v="1"/>
    <n v="2"/>
    <n v="345.01"/>
    <s v="670 Main St"/>
    <x v="2"/>
    <x v="3"/>
    <s v="TRK93676567"/>
    <n v="6"/>
    <s v="FREESHIP"/>
    <x v="4"/>
    <n v="690.02"/>
    <n v="690.02"/>
    <x v="4"/>
    <s v="Q2"/>
    <x v="0"/>
    <s v="Completed"/>
    <s v="Yes"/>
  </r>
  <r>
    <x v="292"/>
    <d v="2025-01-15T00:00:00"/>
    <s v="C39639"/>
    <x v="0"/>
    <n v="1"/>
    <n v="65.95"/>
    <s v="185 Main St"/>
    <x v="2"/>
    <x v="3"/>
    <s v="TRK31042152"/>
    <n v="5"/>
    <m/>
    <x v="3"/>
    <n v="65.95"/>
    <n v="65.95"/>
    <x v="0"/>
    <s v="Q1"/>
    <x v="2"/>
    <s v="Completed"/>
    <s v="No"/>
  </r>
  <r>
    <x v="293"/>
    <d v="2023-02-16T00:00:00"/>
    <s v="C33220"/>
    <x v="2"/>
    <n v="4"/>
    <n v="463.04"/>
    <s v="564 Main St"/>
    <x v="3"/>
    <x v="2"/>
    <s v="TRK40450219"/>
    <n v="9"/>
    <m/>
    <x v="0"/>
    <n v="1852.16"/>
    <n v="1852.16"/>
    <x v="2"/>
    <s v="Q1"/>
    <x v="0"/>
    <s v="Pending"/>
    <s v="No"/>
  </r>
  <r>
    <x v="294"/>
    <d v="2025-04-01T00:00:00"/>
    <s v="C65414"/>
    <x v="1"/>
    <n v="2"/>
    <n v="297.70999999999998"/>
    <s v="208 Main St"/>
    <x v="1"/>
    <x v="0"/>
    <s v="TRK67562517"/>
    <n v="7"/>
    <s v="SAVE10"/>
    <x v="1"/>
    <n v="595.41999999999996"/>
    <n v="595.41999999999996"/>
    <x v="6"/>
    <s v="Q2"/>
    <x v="0"/>
    <s v="Pending"/>
    <s v="Yes"/>
  </r>
  <r>
    <x v="295"/>
    <d v="2023-01-25T00:00:00"/>
    <s v="C49009"/>
    <x v="4"/>
    <n v="5"/>
    <n v="107.48"/>
    <s v="278 Main St"/>
    <x v="0"/>
    <x v="1"/>
    <s v="TRK46285799"/>
    <n v="9"/>
    <s v="FREESHIP"/>
    <x v="2"/>
    <n v="537.4"/>
    <n v="537.4"/>
    <x v="0"/>
    <s v="Q1"/>
    <x v="0"/>
    <s v="Pending"/>
    <s v="Yes"/>
  </r>
  <r>
    <x v="296"/>
    <d v="2024-06-19T00:00:00"/>
    <s v="C48453"/>
    <x v="6"/>
    <n v="5"/>
    <n v="638.79999999999995"/>
    <s v="434 Main St"/>
    <x v="0"/>
    <x v="1"/>
    <s v="TRK52110494"/>
    <n v="10"/>
    <s v="WINTER15"/>
    <x v="1"/>
    <n v="3194"/>
    <n v="3194"/>
    <x v="5"/>
    <s v="Q2"/>
    <x v="0"/>
    <s v="Pending"/>
    <s v="Yes"/>
  </r>
  <r>
    <x v="297"/>
    <d v="2023-02-22T00:00:00"/>
    <s v="C68078"/>
    <x v="6"/>
    <n v="2"/>
    <n v="493.88"/>
    <s v="252 Main St"/>
    <x v="2"/>
    <x v="2"/>
    <s v="TRK64862812"/>
    <n v="7"/>
    <s v="SAVE10"/>
    <x v="0"/>
    <n v="987.76"/>
    <n v="987.76"/>
    <x v="2"/>
    <s v="Q1"/>
    <x v="0"/>
    <s v="Pending"/>
    <s v="Yes"/>
  </r>
  <r>
    <x v="298"/>
    <d v="2023-12-19T00:00:00"/>
    <s v="C19402"/>
    <x v="4"/>
    <n v="4"/>
    <n v="301.17"/>
    <s v="267 Main St"/>
    <x v="1"/>
    <x v="1"/>
    <s v="TRK97825212"/>
    <n v="6"/>
    <m/>
    <x v="2"/>
    <n v="1204.68"/>
    <n v="1204.68"/>
    <x v="8"/>
    <s v="Q4"/>
    <x v="0"/>
    <s v="Pending"/>
    <s v="No"/>
  </r>
  <r>
    <x v="299"/>
    <d v="2024-01-20T00:00:00"/>
    <s v="C30711"/>
    <x v="0"/>
    <n v="1"/>
    <n v="278.66000000000003"/>
    <s v="856 Main St"/>
    <x v="3"/>
    <x v="1"/>
    <s v="TRK42696593"/>
    <n v="2"/>
    <s v="FREESHIP"/>
    <x v="0"/>
    <n v="278.66000000000003"/>
    <n v="278.66000000000003"/>
    <x v="0"/>
    <s v="Q1"/>
    <x v="1"/>
    <s v="Pending"/>
    <s v="Yes"/>
  </r>
  <r>
    <x v="300"/>
    <d v="2024-09-02T00:00:00"/>
    <s v="C39000"/>
    <x v="1"/>
    <n v="1"/>
    <n v="287.45999999999998"/>
    <s v="894 Main St"/>
    <x v="0"/>
    <x v="2"/>
    <s v="TRK33753945"/>
    <n v="3"/>
    <s v="FREESHIP"/>
    <x v="3"/>
    <n v="287.45999999999998"/>
    <n v="287.45999999999998"/>
    <x v="11"/>
    <s v="Q3"/>
    <x v="1"/>
    <s v="Pending"/>
    <s v="Yes"/>
  </r>
  <r>
    <x v="301"/>
    <d v="2023-05-11T00:00:00"/>
    <s v="C31105"/>
    <x v="3"/>
    <n v="1"/>
    <n v="583.99"/>
    <s v="726 Main St"/>
    <x v="4"/>
    <x v="1"/>
    <s v="TRK40149095"/>
    <n v="2"/>
    <s v="SAVE10"/>
    <x v="2"/>
    <n v="583.99"/>
    <n v="583.99"/>
    <x v="4"/>
    <s v="Q2"/>
    <x v="0"/>
    <s v="Pending"/>
    <s v="Yes"/>
  </r>
  <r>
    <x v="302"/>
    <d v="2023-05-16T00:00:00"/>
    <s v="C29432"/>
    <x v="3"/>
    <n v="3"/>
    <n v="468.74"/>
    <s v="121 Main St"/>
    <x v="4"/>
    <x v="4"/>
    <s v="TRK44142517"/>
    <n v="4"/>
    <s v="FREESHIP"/>
    <x v="0"/>
    <n v="1406.22"/>
    <n v="1406.22"/>
    <x v="4"/>
    <s v="Q2"/>
    <x v="0"/>
    <s v="Pending"/>
    <s v="Yes"/>
  </r>
  <r>
    <x v="303"/>
    <d v="2024-12-07T00:00:00"/>
    <s v="C48531"/>
    <x v="2"/>
    <n v="1"/>
    <n v="30.54"/>
    <s v="368 Main St"/>
    <x v="0"/>
    <x v="2"/>
    <s v="TRK95462192"/>
    <n v="1"/>
    <m/>
    <x v="4"/>
    <n v="30.54"/>
    <n v="30.54"/>
    <x v="8"/>
    <s v="Q4"/>
    <x v="2"/>
    <s v="Pending"/>
    <s v="No"/>
  </r>
  <r>
    <x v="304"/>
    <d v="2024-10-18T00:00:00"/>
    <s v="C86762"/>
    <x v="0"/>
    <n v="5"/>
    <n v="408.73"/>
    <s v="326 Main St"/>
    <x v="3"/>
    <x v="3"/>
    <s v="TRK75686292"/>
    <n v="10"/>
    <s v="FREESHIP"/>
    <x v="0"/>
    <n v="2043.65"/>
    <n v="2043.65"/>
    <x v="3"/>
    <s v="Q4"/>
    <x v="0"/>
    <s v="Completed"/>
    <s v="Yes"/>
  </r>
  <r>
    <x v="305"/>
    <d v="2023-11-25T00:00:00"/>
    <s v="C63822"/>
    <x v="5"/>
    <n v="4"/>
    <n v="126.89"/>
    <s v="235 Main St"/>
    <x v="4"/>
    <x v="4"/>
    <s v="TRK59353216"/>
    <n v="9"/>
    <s v="FREESHIP"/>
    <x v="0"/>
    <n v="507.56"/>
    <n v="507.56"/>
    <x v="7"/>
    <s v="Q4"/>
    <x v="0"/>
    <s v="Pending"/>
    <s v="Yes"/>
  </r>
  <r>
    <x v="306"/>
    <d v="2024-06-07T00:00:00"/>
    <s v="C70495"/>
    <x v="4"/>
    <n v="2"/>
    <n v="57.07"/>
    <s v="238 Main St"/>
    <x v="0"/>
    <x v="2"/>
    <s v="TRK65511225"/>
    <n v="3"/>
    <s v="SAVE10"/>
    <x v="0"/>
    <n v="114.14"/>
    <n v="114.14"/>
    <x v="5"/>
    <s v="Q2"/>
    <x v="1"/>
    <s v="Pending"/>
    <s v="Yes"/>
  </r>
  <r>
    <x v="307"/>
    <d v="2023-07-01T00:00:00"/>
    <s v="C92407"/>
    <x v="5"/>
    <n v="3"/>
    <n v="557.41"/>
    <s v="135 Main St"/>
    <x v="1"/>
    <x v="3"/>
    <s v="TRK11755610"/>
    <n v="4"/>
    <m/>
    <x v="2"/>
    <n v="1672.23"/>
    <n v="1672.23"/>
    <x v="10"/>
    <s v="Q3"/>
    <x v="0"/>
    <s v="Completed"/>
    <s v="No"/>
  </r>
  <r>
    <x v="308"/>
    <d v="2023-12-11T00:00:00"/>
    <s v="C75888"/>
    <x v="4"/>
    <n v="3"/>
    <n v="448.9"/>
    <s v="790 Main St"/>
    <x v="0"/>
    <x v="2"/>
    <s v="TRK98467398"/>
    <n v="7"/>
    <s v="SAVE10"/>
    <x v="0"/>
    <n v="1346.7"/>
    <n v="1346.6999999999998"/>
    <x v="8"/>
    <s v="Q4"/>
    <x v="0"/>
    <s v="Pending"/>
    <s v="Yes"/>
  </r>
  <r>
    <x v="309"/>
    <d v="2023-10-03T00:00:00"/>
    <s v="C63153"/>
    <x v="3"/>
    <n v="4"/>
    <n v="549.76"/>
    <s v="625 Main St"/>
    <x v="0"/>
    <x v="3"/>
    <s v="TRK38033305"/>
    <n v="4"/>
    <s v="FREESHIP"/>
    <x v="3"/>
    <n v="2199.04"/>
    <n v="2199.04"/>
    <x v="3"/>
    <s v="Q4"/>
    <x v="0"/>
    <s v="Completed"/>
    <s v="Yes"/>
  </r>
  <r>
    <x v="310"/>
    <d v="2024-02-24T00:00:00"/>
    <s v="C85863"/>
    <x v="4"/>
    <n v="3"/>
    <n v="132.47999999999999"/>
    <s v="968 Main St"/>
    <x v="1"/>
    <x v="0"/>
    <s v="TRK16094218"/>
    <n v="4"/>
    <m/>
    <x v="1"/>
    <n v="397.43999999999988"/>
    <n v="397.43999999999994"/>
    <x v="2"/>
    <s v="Q1"/>
    <x v="1"/>
    <s v="Pending"/>
    <s v="No"/>
  </r>
  <r>
    <x v="311"/>
    <d v="2025-05-17T00:00:00"/>
    <s v="C71698"/>
    <x v="6"/>
    <n v="5"/>
    <n v="489.37"/>
    <s v="274 Main St"/>
    <x v="1"/>
    <x v="2"/>
    <s v="TRK34786818"/>
    <n v="8"/>
    <m/>
    <x v="0"/>
    <n v="2446.85"/>
    <n v="2446.85"/>
    <x v="4"/>
    <s v="Q2"/>
    <x v="0"/>
    <s v="Pending"/>
    <s v="No"/>
  </r>
  <r>
    <x v="312"/>
    <d v="2025-05-24T00:00:00"/>
    <s v="C35397"/>
    <x v="4"/>
    <n v="5"/>
    <n v="66.31"/>
    <s v="579 Main St"/>
    <x v="3"/>
    <x v="4"/>
    <s v="TRK64742535"/>
    <n v="7"/>
    <s v="FREESHIP"/>
    <x v="1"/>
    <n v="331.55"/>
    <n v="331.55"/>
    <x v="4"/>
    <s v="Q2"/>
    <x v="1"/>
    <s v="Pending"/>
    <s v="Yes"/>
  </r>
  <r>
    <x v="313"/>
    <d v="2023-07-09T00:00:00"/>
    <s v="C67687"/>
    <x v="3"/>
    <n v="2"/>
    <n v="434.3"/>
    <s v="978 Main St"/>
    <x v="4"/>
    <x v="3"/>
    <s v="TRK22838735"/>
    <n v="7"/>
    <s v="SAVE10"/>
    <x v="0"/>
    <n v="868.6"/>
    <n v="868.6"/>
    <x v="10"/>
    <s v="Q3"/>
    <x v="0"/>
    <s v="Completed"/>
    <s v="Yes"/>
  </r>
  <r>
    <x v="314"/>
    <d v="2023-10-04T00:00:00"/>
    <s v="C29931"/>
    <x v="6"/>
    <n v="4"/>
    <n v="153.09"/>
    <s v="540 Main St"/>
    <x v="1"/>
    <x v="3"/>
    <s v="TRK48712417"/>
    <n v="4"/>
    <s v="FREESHIP"/>
    <x v="1"/>
    <n v="612.36"/>
    <n v="612.36"/>
    <x v="3"/>
    <s v="Q4"/>
    <x v="0"/>
    <s v="Completed"/>
    <s v="Yes"/>
  </r>
  <r>
    <x v="315"/>
    <d v="2025-05-12T00:00:00"/>
    <s v="C59139"/>
    <x v="2"/>
    <n v="5"/>
    <n v="91.67"/>
    <s v="301 Main St"/>
    <x v="1"/>
    <x v="1"/>
    <s v="TRK45507090"/>
    <n v="9"/>
    <s v="FREESHIP"/>
    <x v="2"/>
    <n v="458.35"/>
    <n v="458.35"/>
    <x v="4"/>
    <s v="Q2"/>
    <x v="1"/>
    <s v="Pending"/>
    <s v="Yes"/>
  </r>
  <r>
    <x v="316"/>
    <d v="2023-10-02T00:00:00"/>
    <s v="C66078"/>
    <x v="6"/>
    <n v="4"/>
    <n v="275.27999999999997"/>
    <s v="101 Main St"/>
    <x v="3"/>
    <x v="0"/>
    <s v="TRK86474559"/>
    <n v="9"/>
    <s v="WINTER15"/>
    <x v="3"/>
    <n v="1101.1199999999999"/>
    <n v="1101.1199999999999"/>
    <x v="3"/>
    <s v="Q4"/>
    <x v="0"/>
    <s v="Pending"/>
    <s v="Yes"/>
  </r>
  <r>
    <x v="317"/>
    <d v="2023-04-10T00:00:00"/>
    <s v="C88370"/>
    <x v="0"/>
    <n v="2"/>
    <n v="139.94999999999999"/>
    <s v="339 Main St"/>
    <x v="1"/>
    <x v="2"/>
    <s v="TRK22575151"/>
    <n v="5"/>
    <m/>
    <x v="0"/>
    <n v="279.89999999999998"/>
    <n v="279.89999999999998"/>
    <x v="6"/>
    <s v="Q2"/>
    <x v="1"/>
    <s v="Pending"/>
    <s v="No"/>
  </r>
  <r>
    <x v="318"/>
    <d v="2024-07-27T00:00:00"/>
    <s v="C93375"/>
    <x v="3"/>
    <n v="3"/>
    <n v="148.72"/>
    <s v="317 Main St"/>
    <x v="0"/>
    <x v="1"/>
    <s v="TRK95706967"/>
    <n v="7"/>
    <s v="SAVE10"/>
    <x v="4"/>
    <n v="446.16"/>
    <n v="446.15999999999997"/>
    <x v="10"/>
    <s v="Q3"/>
    <x v="1"/>
    <s v="Pending"/>
    <s v="Yes"/>
  </r>
  <r>
    <x v="319"/>
    <d v="2023-12-02T00:00:00"/>
    <s v="C53049"/>
    <x v="5"/>
    <n v="2"/>
    <n v="563.05999999999995"/>
    <s v="413 Main St"/>
    <x v="4"/>
    <x v="2"/>
    <s v="TRK48974907"/>
    <n v="6"/>
    <m/>
    <x v="0"/>
    <n v="1126.1199999999999"/>
    <n v="1126.1199999999999"/>
    <x v="8"/>
    <s v="Q4"/>
    <x v="0"/>
    <s v="Pending"/>
    <s v="No"/>
  </r>
  <r>
    <x v="320"/>
    <d v="2024-12-19T00:00:00"/>
    <s v="C55590"/>
    <x v="4"/>
    <n v="1"/>
    <n v="625.51"/>
    <s v="772 Main St"/>
    <x v="2"/>
    <x v="0"/>
    <s v="TRK48792951"/>
    <n v="1"/>
    <s v="FREESHIP"/>
    <x v="3"/>
    <n v="625.51"/>
    <n v="625.51"/>
    <x v="8"/>
    <s v="Q4"/>
    <x v="0"/>
    <s v="Pending"/>
    <s v="Yes"/>
  </r>
  <r>
    <x v="321"/>
    <d v="2023-08-09T00:00:00"/>
    <s v="C47086"/>
    <x v="1"/>
    <n v="4"/>
    <n v="152.29"/>
    <s v="135 Main St"/>
    <x v="0"/>
    <x v="1"/>
    <s v="TRK44194358"/>
    <n v="6"/>
    <s v="WINTER15"/>
    <x v="4"/>
    <n v="609.16"/>
    <n v="609.16"/>
    <x v="1"/>
    <s v="Q3"/>
    <x v="0"/>
    <s v="Pending"/>
    <s v="Yes"/>
  </r>
  <r>
    <x v="322"/>
    <d v="2024-06-14T00:00:00"/>
    <s v="C48646"/>
    <x v="1"/>
    <n v="5"/>
    <n v="231.82"/>
    <s v="339 Main St"/>
    <x v="0"/>
    <x v="3"/>
    <s v="TRK18233748"/>
    <n v="6"/>
    <s v="SAVE10"/>
    <x v="3"/>
    <n v="1159.0999999999999"/>
    <n v="1159.0999999999999"/>
    <x v="5"/>
    <s v="Q2"/>
    <x v="0"/>
    <s v="Completed"/>
    <s v="Yes"/>
  </r>
  <r>
    <x v="323"/>
    <d v="2025-01-26T00:00:00"/>
    <s v="C29416"/>
    <x v="5"/>
    <n v="1"/>
    <n v="150.16999999999999"/>
    <s v="414 Main St"/>
    <x v="0"/>
    <x v="2"/>
    <s v="TRK63820842"/>
    <n v="1"/>
    <s v="SAVE10"/>
    <x v="1"/>
    <n v="150.16999999999999"/>
    <n v="150.16999999999999"/>
    <x v="0"/>
    <s v="Q1"/>
    <x v="1"/>
    <s v="Pending"/>
    <s v="Yes"/>
  </r>
  <r>
    <x v="324"/>
    <d v="2024-06-13T00:00:00"/>
    <s v="C13525"/>
    <x v="2"/>
    <n v="3"/>
    <n v="70.930000000000007"/>
    <s v="847 Main St"/>
    <x v="0"/>
    <x v="2"/>
    <s v="TRK70193221"/>
    <n v="5"/>
    <m/>
    <x v="1"/>
    <n v="212.79"/>
    <n v="212.79000000000002"/>
    <x v="5"/>
    <s v="Q2"/>
    <x v="1"/>
    <s v="Pending"/>
    <s v="No"/>
  </r>
  <r>
    <x v="325"/>
    <d v="2023-06-29T00:00:00"/>
    <s v="C53545"/>
    <x v="6"/>
    <n v="3"/>
    <n v="361.39"/>
    <s v="665 Main St"/>
    <x v="2"/>
    <x v="0"/>
    <s v="TRK61123177"/>
    <n v="8"/>
    <m/>
    <x v="1"/>
    <n v="1084.17"/>
    <n v="1084.17"/>
    <x v="5"/>
    <s v="Q2"/>
    <x v="0"/>
    <s v="Pending"/>
    <s v="No"/>
  </r>
  <r>
    <x v="326"/>
    <d v="2024-07-01T00:00:00"/>
    <s v="C65986"/>
    <x v="5"/>
    <n v="5"/>
    <n v="670.48"/>
    <s v="273 Main St"/>
    <x v="3"/>
    <x v="2"/>
    <s v="TRK98353867"/>
    <n v="5"/>
    <s v="SAVE10"/>
    <x v="3"/>
    <n v="3352.4"/>
    <n v="3352.4"/>
    <x v="10"/>
    <s v="Q3"/>
    <x v="0"/>
    <s v="Pending"/>
    <s v="Yes"/>
  </r>
  <r>
    <x v="327"/>
    <d v="2023-07-25T00:00:00"/>
    <s v="C17302"/>
    <x v="1"/>
    <n v="1"/>
    <n v="359.99"/>
    <s v="385 Main St"/>
    <x v="3"/>
    <x v="1"/>
    <s v="TRK43940016"/>
    <n v="5"/>
    <s v="SAVE10"/>
    <x v="2"/>
    <n v="359.99"/>
    <n v="359.99"/>
    <x v="10"/>
    <s v="Q3"/>
    <x v="1"/>
    <s v="Pending"/>
    <s v="Yes"/>
  </r>
  <r>
    <x v="328"/>
    <d v="2023-02-28T00:00:00"/>
    <s v="C18404"/>
    <x v="2"/>
    <n v="5"/>
    <n v="674.04"/>
    <s v="546 Main St"/>
    <x v="1"/>
    <x v="1"/>
    <s v="TRK89401624"/>
    <n v="7"/>
    <s v="SAVE10"/>
    <x v="4"/>
    <n v="3370.2"/>
    <n v="3370.2"/>
    <x v="2"/>
    <s v="Q1"/>
    <x v="0"/>
    <s v="Pending"/>
    <s v="Yes"/>
  </r>
  <r>
    <x v="329"/>
    <d v="2024-12-25T00:00:00"/>
    <s v="C88371"/>
    <x v="3"/>
    <n v="4"/>
    <n v="283.16000000000003"/>
    <s v="306 Main St"/>
    <x v="2"/>
    <x v="0"/>
    <s v="TRK63224811"/>
    <n v="6"/>
    <m/>
    <x v="4"/>
    <n v="1132.6400000000001"/>
    <n v="1132.6400000000001"/>
    <x v="8"/>
    <s v="Q4"/>
    <x v="0"/>
    <s v="Pending"/>
    <s v="No"/>
  </r>
  <r>
    <x v="330"/>
    <d v="2024-06-02T00:00:00"/>
    <s v="C38068"/>
    <x v="6"/>
    <n v="5"/>
    <n v="260.52999999999997"/>
    <s v="532 Main St"/>
    <x v="3"/>
    <x v="4"/>
    <s v="TRK54059198"/>
    <n v="5"/>
    <s v="SAVE10"/>
    <x v="0"/>
    <n v="1302.6500000000001"/>
    <n v="1302.6499999999999"/>
    <x v="5"/>
    <s v="Q2"/>
    <x v="0"/>
    <s v="Pending"/>
    <s v="Yes"/>
  </r>
  <r>
    <x v="331"/>
    <d v="2023-04-15T00:00:00"/>
    <s v="C78724"/>
    <x v="4"/>
    <n v="3"/>
    <n v="422.13"/>
    <s v="187 Main St"/>
    <x v="1"/>
    <x v="3"/>
    <s v="TRK25703134"/>
    <n v="7"/>
    <s v="SAVE10"/>
    <x v="3"/>
    <n v="1266.3900000000001"/>
    <n v="1266.3899999999999"/>
    <x v="6"/>
    <s v="Q2"/>
    <x v="0"/>
    <s v="Completed"/>
    <s v="Yes"/>
  </r>
  <r>
    <x v="332"/>
    <d v="2024-07-03T00:00:00"/>
    <s v="C26163"/>
    <x v="6"/>
    <n v="5"/>
    <n v="125.02"/>
    <s v="607 Main St"/>
    <x v="0"/>
    <x v="4"/>
    <s v="TRK67499316"/>
    <n v="9"/>
    <s v="SAVE10"/>
    <x v="4"/>
    <n v="625.1"/>
    <n v="625.1"/>
    <x v="10"/>
    <s v="Q3"/>
    <x v="0"/>
    <s v="Pending"/>
    <s v="Yes"/>
  </r>
  <r>
    <x v="333"/>
    <d v="2024-04-16T00:00:00"/>
    <s v="C87124"/>
    <x v="1"/>
    <n v="1"/>
    <n v="198.51"/>
    <s v="818 Main St"/>
    <x v="2"/>
    <x v="2"/>
    <s v="TRK52086740"/>
    <n v="5"/>
    <s v="WINTER15"/>
    <x v="0"/>
    <n v="198.51"/>
    <n v="198.51"/>
    <x v="6"/>
    <s v="Q2"/>
    <x v="1"/>
    <s v="Pending"/>
    <s v="Yes"/>
  </r>
  <r>
    <x v="334"/>
    <d v="2024-03-26T00:00:00"/>
    <s v="C90348"/>
    <x v="3"/>
    <n v="4"/>
    <n v="224.75"/>
    <s v="728 Main St"/>
    <x v="1"/>
    <x v="3"/>
    <s v="TRK20635777"/>
    <n v="7"/>
    <s v="WINTER15"/>
    <x v="3"/>
    <n v="899"/>
    <n v="899"/>
    <x v="9"/>
    <s v="Q1"/>
    <x v="0"/>
    <s v="Completed"/>
    <s v="Yes"/>
  </r>
  <r>
    <x v="335"/>
    <d v="2025-03-03T00:00:00"/>
    <s v="C58721"/>
    <x v="2"/>
    <n v="3"/>
    <n v="205.86"/>
    <s v="978 Main St"/>
    <x v="3"/>
    <x v="0"/>
    <s v="TRK34801199"/>
    <n v="4"/>
    <m/>
    <x v="2"/>
    <n v="617.58000000000004"/>
    <n v="617.58000000000004"/>
    <x v="9"/>
    <s v="Q1"/>
    <x v="0"/>
    <s v="Pending"/>
    <s v="No"/>
  </r>
  <r>
    <x v="336"/>
    <d v="2023-12-29T00:00:00"/>
    <s v="C88174"/>
    <x v="5"/>
    <n v="1"/>
    <n v="18.2"/>
    <s v="441 Main St"/>
    <x v="0"/>
    <x v="4"/>
    <s v="TRK10143345"/>
    <n v="4"/>
    <s v="SAVE10"/>
    <x v="0"/>
    <n v="18.2"/>
    <n v="18.2"/>
    <x v="8"/>
    <s v="Q4"/>
    <x v="2"/>
    <s v="Pending"/>
    <s v="Yes"/>
  </r>
  <r>
    <x v="337"/>
    <d v="2023-05-29T00:00:00"/>
    <s v="C77763"/>
    <x v="2"/>
    <n v="3"/>
    <n v="502.77"/>
    <s v="599 Main St"/>
    <x v="0"/>
    <x v="2"/>
    <s v="TRK66980447"/>
    <n v="8"/>
    <s v="WINTER15"/>
    <x v="2"/>
    <n v="1508.31"/>
    <n v="1508.31"/>
    <x v="4"/>
    <s v="Q2"/>
    <x v="0"/>
    <s v="Pending"/>
    <s v="Yes"/>
  </r>
  <r>
    <x v="338"/>
    <d v="2023-11-08T00:00:00"/>
    <s v="C53627"/>
    <x v="1"/>
    <n v="5"/>
    <n v="305.49"/>
    <s v="704 Main St"/>
    <x v="0"/>
    <x v="0"/>
    <s v="TRK64112352"/>
    <n v="10"/>
    <m/>
    <x v="1"/>
    <n v="1527.45"/>
    <n v="1527.45"/>
    <x v="7"/>
    <s v="Q4"/>
    <x v="0"/>
    <s v="Pending"/>
    <s v="No"/>
  </r>
  <r>
    <x v="339"/>
    <d v="2024-04-10T00:00:00"/>
    <s v="C84563"/>
    <x v="4"/>
    <n v="2"/>
    <n v="236.33"/>
    <s v="398 Main St"/>
    <x v="1"/>
    <x v="4"/>
    <s v="TRK62422797"/>
    <n v="3"/>
    <s v="SAVE10"/>
    <x v="0"/>
    <n v="472.66"/>
    <n v="472.66"/>
    <x v="6"/>
    <s v="Q2"/>
    <x v="1"/>
    <s v="Pending"/>
    <s v="Yes"/>
  </r>
  <r>
    <x v="340"/>
    <d v="2023-04-23T00:00:00"/>
    <s v="C76207"/>
    <x v="5"/>
    <n v="5"/>
    <n v="521.25"/>
    <s v="826 Main St"/>
    <x v="4"/>
    <x v="1"/>
    <s v="TRK25569378"/>
    <n v="8"/>
    <m/>
    <x v="2"/>
    <n v="2606.25"/>
    <n v="2606.25"/>
    <x v="6"/>
    <s v="Q2"/>
    <x v="0"/>
    <s v="Pending"/>
    <s v="No"/>
  </r>
  <r>
    <x v="341"/>
    <d v="2024-09-23T00:00:00"/>
    <s v="C94671"/>
    <x v="2"/>
    <n v="1"/>
    <n v="167.15"/>
    <s v="293 Main St"/>
    <x v="3"/>
    <x v="0"/>
    <s v="TRK61357272"/>
    <n v="5"/>
    <s v="WINTER15"/>
    <x v="2"/>
    <n v="167.15"/>
    <n v="167.15"/>
    <x v="11"/>
    <s v="Q3"/>
    <x v="1"/>
    <s v="Pending"/>
    <s v="Yes"/>
  </r>
  <r>
    <x v="342"/>
    <d v="2025-06-24T00:00:00"/>
    <s v="C69994"/>
    <x v="0"/>
    <n v="5"/>
    <n v="466.42"/>
    <s v="619 Main St"/>
    <x v="3"/>
    <x v="2"/>
    <s v="TRK95935805"/>
    <n v="5"/>
    <m/>
    <x v="1"/>
    <n v="2332.1"/>
    <n v="2332.1"/>
    <x v="5"/>
    <s v="Q2"/>
    <x v="0"/>
    <s v="Pending"/>
    <s v="No"/>
  </r>
  <r>
    <x v="343"/>
    <d v="2023-02-26T00:00:00"/>
    <s v="C64638"/>
    <x v="4"/>
    <n v="1"/>
    <n v="527.57000000000005"/>
    <s v="919 Main St"/>
    <x v="0"/>
    <x v="4"/>
    <s v="TRK64087938"/>
    <n v="3"/>
    <s v="FREESHIP"/>
    <x v="3"/>
    <n v="527.57000000000005"/>
    <n v="527.57000000000005"/>
    <x v="2"/>
    <s v="Q1"/>
    <x v="0"/>
    <s v="Pending"/>
    <s v="Yes"/>
  </r>
  <r>
    <x v="344"/>
    <d v="2025-03-06T00:00:00"/>
    <s v="C95623"/>
    <x v="2"/>
    <n v="3"/>
    <n v="623.34"/>
    <s v="248 Main St"/>
    <x v="1"/>
    <x v="1"/>
    <s v="TRK67558189"/>
    <n v="3"/>
    <s v="SAVE10"/>
    <x v="0"/>
    <n v="1870.02"/>
    <n v="1870.02"/>
    <x v="9"/>
    <s v="Q1"/>
    <x v="0"/>
    <s v="Pending"/>
    <s v="Yes"/>
  </r>
  <r>
    <x v="345"/>
    <d v="2023-12-07T00:00:00"/>
    <s v="C24751"/>
    <x v="2"/>
    <n v="5"/>
    <n v="501.26"/>
    <s v="259 Main St"/>
    <x v="3"/>
    <x v="0"/>
    <s v="TRK37285406"/>
    <n v="10"/>
    <s v="FREESHIP"/>
    <x v="1"/>
    <n v="2506.3000000000002"/>
    <n v="2506.3000000000002"/>
    <x v="8"/>
    <s v="Q4"/>
    <x v="0"/>
    <s v="Pending"/>
    <s v="Yes"/>
  </r>
  <r>
    <x v="346"/>
    <d v="2024-12-06T00:00:00"/>
    <s v="C31764"/>
    <x v="2"/>
    <n v="1"/>
    <n v="655.09"/>
    <s v="876 Main St"/>
    <x v="4"/>
    <x v="4"/>
    <s v="TRK44680433"/>
    <n v="6"/>
    <m/>
    <x v="1"/>
    <n v="655.09"/>
    <n v="655.09"/>
    <x v="8"/>
    <s v="Q4"/>
    <x v="0"/>
    <s v="Pending"/>
    <s v="No"/>
  </r>
  <r>
    <x v="347"/>
    <d v="2024-02-03T00:00:00"/>
    <s v="C83556"/>
    <x v="4"/>
    <n v="4"/>
    <n v="264.79000000000002"/>
    <s v="380 Main St"/>
    <x v="2"/>
    <x v="4"/>
    <s v="TRK21109187"/>
    <n v="5"/>
    <s v="SAVE10"/>
    <x v="4"/>
    <n v="1059.1600000000001"/>
    <n v="1059.1600000000001"/>
    <x v="2"/>
    <s v="Q1"/>
    <x v="0"/>
    <s v="Pending"/>
    <s v="Yes"/>
  </r>
  <r>
    <x v="348"/>
    <d v="2024-03-13T00:00:00"/>
    <s v="C24369"/>
    <x v="5"/>
    <n v="3"/>
    <n v="359.73"/>
    <s v="885 Main St"/>
    <x v="0"/>
    <x v="2"/>
    <s v="TRK72633998"/>
    <n v="7"/>
    <s v="FREESHIP"/>
    <x v="2"/>
    <n v="1079.19"/>
    <n v="1079.19"/>
    <x v="9"/>
    <s v="Q1"/>
    <x v="0"/>
    <s v="Pending"/>
    <s v="Yes"/>
  </r>
  <r>
    <x v="349"/>
    <d v="2023-11-30T00:00:00"/>
    <s v="C39648"/>
    <x v="3"/>
    <n v="1"/>
    <n v="465.33"/>
    <s v="824 Main St"/>
    <x v="3"/>
    <x v="3"/>
    <s v="TRK56016905"/>
    <n v="2"/>
    <s v="FREESHIP"/>
    <x v="4"/>
    <n v="465.33"/>
    <n v="465.33"/>
    <x v="7"/>
    <s v="Q4"/>
    <x v="1"/>
    <s v="Completed"/>
    <s v="Yes"/>
  </r>
  <r>
    <x v="350"/>
    <d v="2023-06-03T00:00:00"/>
    <s v="C13296"/>
    <x v="3"/>
    <n v="2"/>
    <n v="54.41"/>
    <s v="495 Main St"/>
    <x v="1"/>
    <x v="0"/>
    <s v="TRK60127216"/>
    <n v="6"/>
    <m/>
    <x v="0"/>
    <n v="108.82"/>
    <n v="108.82"/>
    <x v="5"/>
    <s v="Q2"/>
    <x v="1"/>
    <s v="Pending"/>
    <s v="No"/>
  </r>
  <r>
    <x v="351"/>
    <d v="2025-02-15T00:00:00"/>
    <s v="C94248"/>
    <x v="5"/>
    <n v="1"/>
    <n v="64.66"/>
    <s v="494 Main St"/>
    <x v="0"/>
    <x v="3"/>
    <s v="TRK89406816"/>
    <n v="4"/>
    <m/>
    <x v="0"/>
    <n v="64.66"/>
    <n v="64.66"/>
    <x v="2"/>
    <s v="Q1"/>
    <x v="2"/>
    <s v="Completed"/>
    <s v="No"/>
  </r>
  <r>
    <x v="352"/>
    <d v="2023-08-31T00:00:00"/>
    <s v="C26637"/>
    <x v="3"/>
    <n v="5"/>
    <n v="173.96"/>
    <s v="995 Main St"/>
    <x v="0"/>
    <x v="4"/>
    <s v="TRK59546992"/>
    <n v="8"/>
    <s v="WINTER15"/>
    <x v="0"/>
    <n v="869.80000000000007"/>
    <n v="869.80000000000007"/>
    <x v="1"/>
    <s v="Q3"/>
    <x v="0"/>
    <s v="Pending"/>
    <s v="Yes"/>
  </r>
  <r>
    <x v="353"/>
    <d v="2025-03-28T00:00:00"/>
    <s v="C16012"/>
    <x v="2"/>
    <n v="1"/>
    <n v="630.82000000000005"/>
    <s v="171 Main St"/>
    <x v="1"/>
    <x v="3"/>
    <s v="TRK15195225"/>
    <n v="5"/>
    <s v="FREESHIP"/>
    <x v="4"/>
    <n v="630.82000000000005"/>
    <n v="630.82000000000005"/>
    <x v="9"/>
    <s v="Q1"/>
    <x v="0"/>
    <s v="Completed"/>
    <s v="Yes"/>
  </r>
  <r>
    <x v="354"/>
    <d v="2023-07-11T00:00:00"/>
    <s v="C31772"/>
    <x v="1"/>
    <n v="1"/>
    <n v="693.41"/>
    <s v="992 Main St"/>
    <x v="0"/>
    <x v="0"/>
    <s v="TRK11970357"/>
    <n v="4"/>
    <m/>
    <x v="0"/>
    <n v="693.41"/>
    <n v="693.41"/>
    <x v="10"/>
    <s v="Q3"/>
    <x v="0"/>
    <s v="Pending"/>
    <s v="No"/>
  </r>
  <r>
    <x v="355"/>
    <d v="2025-06-03T00:00:00"/>
    <s v="C18353"/>
    <x v="2"/>
    <n v="3"/>
    <n v="433.33"/>
    <s v="677 Main St"/>
    <x v="2"/>
    <x v="1"/>
    <s v="TRK78766533"/>
    <n v="4"/>
    <s v="FREESHIP"/>
    <x v="1"/>
    <n v="1299.99"/>
    <n v="1299.99"/>
    <x v="5"/>
    <s v="Q2"/>
    <x v="0"/>
    <s v="Pending"/>
    <s v="Yes"/>
  </r>
  <r>
    <x v="356"/>
    <d v="2023-05-06T00:00:00"/>
    <s v="C26966"/>
    <x v="4"/>
    <n v="5"/>
    <n v="374.58"/>
    <s v="907 Main St"/>
    <x v="3"/>
    <x v="1"/>
    <s v="TRK83889574"/>
    <n v="10"/>
    <s v="FREESHIP"/>
    <x v="0"/>
    <n v="1872.9"/>
    <n v="1872.8999999999999"/>
    <x v="4"/>
    <s v="Q2"/>
    <x v="0"/>
    <s v="Pending"/>
    <s v="Yes"/>
  </r>
  <r>
    <x v="357"/>
    <d v="2023-07-08T00:00:00"/>
    <s v="C74982"/>
    <x v="5"/>
    <n v="5"/>
    <n v="408.56"/>
    <s v="398 Main St"/>
    <x v="0"/>
    <x v="3"/>
    <s v="TRK98700702"/>
    <n v="8"/>
    <s v="FREESHIP"/>
    <x v="0"/>
    <n v="2042.8"/>
    <n v="2042.8"/>
    <x v="10"/>
    <s v="Q3"/>
    <x v="0"/>
    <s v="Completed"/>
    <s v="Yes"/>
  </r>
  <r>
    <x v="358"/>
    <d v="2024-04-07T00:00:00"/>
    <s v="C70633"/>
    <x v="2"/>
    <n v="2"/>
    <n v="183.67"/>
    <s v="747 Main St"/>
    <x v="1"/>
    <x v="1"/>
    <s v="TRK82540521"/>
    <n v="3"/>
    <s v="SAVE10"/>
    <x v="4"/>
    <n v="367.34"/>
    <n v="367.34"/>
    <x v="6"/>
    <s v="Q2"/>
    <x v="1"/>
    <s v="Pending"/>
    <s v="Yes"/>
  </r>
  <r>
    <x v="359"/>
    <d v="2023-06-09T00:00:00"/>
    <s v="C95643"/>
    <x v="6"/>
    <n v="4"/>
    <n v="606.57000000000005"/>
    <s v="303 Main St"/>
    <x v="0"/>
    <x v="3"/>
    <s v="TRK23286689"/>
    <n v="5"/>
    <s v="WINTER15"/>
    <x v="1"/>
    <n v="2426.2800000000002"/>
    <n v="2426.2800000000002"/>
    <x v="5"/>
    <s v="Q2"/>
    <x v="0"/>
    <s v="Completed"/>
    <s v="Yes"/>
  </r>
  <r>
    <x v="360"/>
    <d v="2024-06-06T00:00:00"/>
    <s v="C53810"/>
    <x v="1"/>
    <n v="4"/>
    <n v="589.57000000000005"/>
    <s v="779 Main St"/>
    <x v="4"/>
    <x v="4"/>
    <s v="TRK34630612"/>
    <n v="8"/>
    <m/>
    <x v="0"/>
    <n v="2358.2800000000002"/>
    <n v="2358.2800000000002"/>
    <x v="5"/>
    <s v="Q2"/>
    <x v="0"/>
    <s v="Pending"/>
    <s v="No"/>
  </r>
  <r>
    <x v="361"/>
    <d v="2024-06-29T00:00:00"/>
    <s v="C53464"/>
    <x v="4"/>
    <n v="5"/>
    <n v="659.85"/>
    <s v="197 Main St"/>
    <x v="2"/>
    <x v="3"/>
    <s v="TRK32743531"/>
    <n v="9"/>
    <s v="SAVE10"/>
    <x v="3"/>
    <n v="3299.25"/>
    <n v="3299.25"/>
    <x v="5"/>
    <s v="Q2"/>
    <x v="0"/>
    <s v="Completed"/>
    <s v="Yes"/>
  </r>
  <r>
    <x v="362"/>
    <d v="2023-06-27T00:00:00"/>
    <s v="C53697"/>
    <x v="0"/>
    <n v="4"/>
    <n v="206.84"/>
    <s v="312 Main St"/>
    <x v="4"/>
    <x v="1"/>
    <s v="TRK60476656"/>
    <n v="5"/>
    <s v="WINTER15"/>
    <x v="0"/>
    <n v="827.36"/>
    <n v="827.36"/>
    <x v="5"/>
    <s v="Q2"/>
    <x v="0"/>
    <s v="Pending"/>
    <s v="Yes"/>
  </r>
  <r>
    <x v="363"/>
    <d v="2024-05-24T00:00:00"/>
    <s v="C31668"/>
    <x v="5"/>
    <n v="5"/>
    <n v="113.87"/>
    <s v="871 Main St"/>
    <x v="2"/>
    <x v="4"/>
    <s v="TRK42584392"/>
    <n v="6"/>
    <s v="SAVE10"/>
    <x v="2"/>
    <n v="569.35"/>
    <n v="569.35"/>
    <x v="4"/>
    <s v="Q2"/>
    <x v="0"/>
    <s v="Pending"/>
    <s v="Yes"/>
  </r>
  <r>
    <x v="364"/>
    <d v="2023-11-24T00:00:00"/>
    <s v="C85282"/>
    <x v="1"/>
    <n v="5"/>
    <n v="628.74"/>
    <s v="740 Main St"/>
    <x v="4"/>
    <x v="1"/>
    <s v="TRK86767206"/>
    <n v="9"/>
    <s v="FREESHIP"/>
    <x v="3"/>
    <n v="3143.7"/>
    <n v="3143.7"/>
    <x v="7"/>
    <s v="Q4"/>
    <x v="0"/>
    <s v="Pending"/>
    <s v="Yes"/>
  </r>
  <r>
    <x v="365"/>
    <d v="2025-02-14T00:00:00"/>
    <s v="C56796"/>
    <x v="1"/>
    <n v="1"/>
    <n v="678.38"/>
    <s v="607 Main St"/>
    <x v="2"/>
    <x v="1"/>
    <s v="TRK74263180"/>
    <n v="4"/>
    <s v="SAVE10"/>
    <x v="1"/>
    <n v="678.38"/>
    <n v="678.38"/>
    <x v="2"/>
    <s v="Q1"/>
    <x v="0"/>
    <s v="Pending"/>
    <s v="Yes"/>
  </r>
  <r>
    <x v="366"/>
    <d v="2023-02-10T00:00:00"/>
    <s v="C95213"/>
    <x v="4"/>
    <n v="3"/>
    <n v="602.24"/>
    <s v="603 Main St"/>
    <x v="0"/>
    <x v="4"/>
    <s v="TRK40630538"/>
    <n v="8"/>
    <m/>
    <x v="1"/>
    <n v="1806.72"/>
    <n v="1806.72"/>
    <x v="2"/>
    <s v="Q1"/>
    <x v="0"/>
    <s v="Pending"/>
    <s v="No"/>
  </r>
  <r>
    <x v="367"/>
    <d v="2024-04-25T00:00:00"/>
    <s v="C13108"/>
    <x v="5"/>
    <n v="5"/>
    <n v="658.77"/>
    <s v="712 Main St"/>
    <x v="3"/>
    <x v="4"/>
    <s v="TRK82284400"/>
    <n v="10"/>
    <s v="FREESHIP"/>
    <x v="0"/>
    <n v="3293.85"/>
    <n v="3293.85"/>
    <x v="6"/>
    <s v="Q2"/>
    <x v="0"/>
    <s v="Pending"/>
    <s v="Yes"/>
  </r>
  <r>
    <x v="368"/>
    <d v="2023-05-01T00:00:00"/>
    <s v="C85322"/>
    <x v="0"/>
    <n v="3"/>
    <n v="271.02"/>
    <s v="403 Main St"/>
    <x v="2"/>
    <x v="1"/>
    <s v="TRK89728869"/>
    <n v="6"/>
    <m/>
    <x v="4"/>
    <n v="813.06"/>
    <n v="813.06"/>
    <x v="4"/>
    <s v="Q2"/>
    <x v="0"/>
    <s v="Pending"/>
    <s v="No"/>
  </r>
  <r>
    <x v="369"/>
    <d v="2024-12-22T00:00:00"/>
    <s v="C43545"/>
    <x v="0"/>
    <n v="5"/>
    <n v="375.25"/>
    <s v="216 Main St"/>
    <x v="3"/>
    <x v="4"/>
    <s v="TRK73937402"/>
    <n v="9"/>
    <s v="SAVE10"/>
    <x v="2"/>
    <n v="1876.25"/>
    <n v="1876.25"/>
    <x v="8"/>
    <s v="Q4"/>
    <x v="0"/>
    <s v="Pending"/>
    <s v="Yes"/>
  </r>
  <r>
    <x v="370"/>
    <d v="2025-05-03T00:00:00"/>
    <s v="C80649"/>
    <x v="1"/>
    <n v="1"/>
    <n v="312.11"/>
    <s v="870 Main St"/>
    <x v="1"/>
    <x v="1"/>
    <s v="TRK41143313"/>
    <n v="4"/>
    <s v="WINTER15"/>
    <x v="3"/>
    <n v="312.11"/>
    <n v="312.11"/>
    <x v="4"/>
    <s v="Q2"/>
    <x v="1"/>
    <s v="Pending"/>
    <s v="Yes"/>
  </r>
  <r>
    <x v="371"/>
    <d v="2023-01-05T00:00:00"/>
    <s v="C59752"/>
    <x v="1"/>
    <n v="5"/>
    <n v="307.76"/>
    <s v="179 Main St"/>
    <x v="3"/>
    <x v="4"/>
    <s v="TRK82229639"/>
    <n v="9"/>
    <s v="FREESHIP"/>
    <x v="4"/>
    <n v="1538.8"/>
    <n v="1538.8"/>
    <x v="0"/>
    <s v="Q1"/>
    <x v="0"/>
    <s v="Pending"/>
    <s v="Yes"/>
  </r>
  <r>
    <x v="372"/>
    <d v="2025-02-14T00:00:00"/>
    <s v="C53645"/>
    <x v="3"/>
    <n v="3"/>
    <n v="483.53"/>
    <s v="166 Main St"/>
    <x v="4"/>
    <x v="2"/>
    <s v="TRK12123939"/>
    <n v="4"/>
    <m/>
    <x v="1"/>
    <n v="1450.59"/>
    <n v="1450.59"/>
    <x v="2"/>
    <s v="Q1"/>
    <x v="0"/>
    <s v="Pending"/>
    <s v="No"/>
  </r>
  <r>
    <x v="373"/>
    <d v="2023-01-02T00:00:00"/>
    <s v="C60178"/>
    <x v="5"/>
    <n v="3"/>
    <n v="341.15"/>
    <s v="969 Main St"/>
    <x v="4"/>
    <x v="4"/>
    <s v="TRK84505143"/>
    <n v="4"/>
    <s v="FREESHIP"/>
    <x v="0"/>
    <n v="1023.45"/>
    <n v="1023.4499999999999"/>
    <x v="0"/>
    <s v="Q1"/>
    <x v="0"/>
    <s v="Pending"/>
    <s v="Yes"/>
  </r>
  <r>
    <x v="374"/>
    <d v="2024-09-16T00:00:00"/>
    <s v="C20286"/>
    <x v="0"/>
    <n v="1"/>
    <n v="571.9"/>
    <s v="129 Main St"/>
    <x v="3"/>
    <x v="4"/>
    <s v="TRK67648338"/>
    <n v="1"/>
    <s v="WINTER15"/>
    <x v="0"/>
    <n v="571.9"/>
    <n v="571.9"/>
    <x v="11"/>
    <s v="Q3"/>
    <x v="0"/>
    <s v="Pending"/>
    <s v="Yes"/>
  </r>
  <r>
    <x v="375"/>
    <d v="2025-01-16T00:00:00"/>
    <s v="C87547"/>
    <x v="0"/>
    <n v="4"/>
    <n v="95.03"/>
    <s v="400 Main St"/>
    <x v="1"/>
    <x v="0"/>
    <s v="TRK71027262"/>
    <n v="8"/>
    <s v="FREESHIP"/>
    <x v="3"/>
    <n v="380.12"/>
    <n v="380.12"/>
    <x v="0"/>
    <s v="Q1"/>
    <x v="1"/>
    <s v="Pending"/>
    <s v="Yes"/>
  </r>
  <r>
    <x v="376"/>
    <d v="2023-08-24T00:00:00"/>
    <s v="C64549"/>
    <x v="0"/>
    <n v="5"/>
    <n v="201.22"/>
    <s v="341 Main St"/>
    <x v="0"/>
    <x v="4"/>
    <s v="TRK20788231"/>
    <n v="6"/>
    <s v="FREESHIP"/>
    <x v="3"/>
    <n v="1006.1"/>
    <n v="1006.1"/>
    <x v="1"/>
    <s v="Q3"/>
    <x v="0"/>
    <s v="Pending"/>
    <s v="Yes"/>
  </r>
  <r>
    <x v="377"/>
    <d v="2024-07-22T00:00:00"/>
    <s v="C24884"/>
    <x v="0"/>
    <n v="1"/>
    <n v="260.26"/>
    <s v="625 Main St"/>
    <x v="1"/>
    <x v="4"/>
    <s v="TRK44538419"/>
    <n v="5"/>
    <s v="WINTER15"/>
    <x v="0"/>
    <n v="260.26"/>
    <n v="260.26"/>
    <x v="10"/>
    <s v="Q3"/>
    <x v="1"/>
    <s v="Pending"/>
    <s v="Yes"/>
  </r>
  <r>
    <x v="378"/>
    <d v="2024-02-01T00:00:00"/>
    <s v="C62666"/>
    <x v="3"/>
    <n v="5"/>
    <n v="64.5"/>
    <s v="148 Main St"/>
    <x v="2"/>
    <x v="4"/>
    <s v="TRK91029390"/>
    <n v="8"/>
    <s v="WINTER15"/>
    <x v="0"/>
    <n v="322.5"/>
    <n v="322.5"/>
    <x v="2"/>
    <s v="Q1"/>
    <x v="1"/>
    <s v="Pending"/>
    <s v="Yes"/>
  </r>
  <r>
    <x v="379"/>
    <d v="2024-09-21T00:00:00"/>
    <s v="C47284"/>
    <x v="1"/>
    <n v="3"/>
    <n v="297.67"/>
    <s v="500 Main St"/>
    <x v="1"/>
    <x v="0"/>
    <s v="TRK85756094"/>
    <n v="6"/>
    <m/>
    <x v="4"/>
    <n v="893.01"/>
    <n v="893.01"/>
    <x v="11"/>
    <s v="Q3"/>
    <x v="0"/>
    <s v="Pending"/>
    <s v="No"/>
  </r>
  <r>
    <x v="380"/>
    <d v="2024-04-20T00:00:00"/>
    <s v="C35355"/>
    <x v="4"/>
    <n v="4"/>
    <n v="331.9"/>
    <s v="127 Main St"/>
    <x v="4"/>
    <x v="4"/>
    <s v="TRK52935059"/>
    <n v="5"/>
    <s v="SAVE10"/>
    <x v="0"/>
    <n v="1327.6"/>
    <n v="1327.6"/>
    <x v="6"/>
    <s v="Q2"/>
    <x v="0"/>
    <s v="Pending"/>
    <s v="Yes"/>
  </r>
  <r>
    <x v="381"/>
    <d v="2023-06-07T00:00:00"/>
    <s v="C29467"/>
    <x v="3"/>
    <n v="1"/>
    <n v="191.76"/>
    <s v="223 Main St"/>
    <x v="2"/>
    <x v="2"/>
    <s v="TRK98103385"/>
    <n v="1"/>
    <s v="FREESHIP"/>
    <x v="0"/>
    <n v="191.76"/>
    <n v="191.76"/>
    <x v="5"/>
    <s v="Q2"/>
    <x v="1"/>
    <s v="Pending"/>
    <s v="Yes"/>
  </r>
  <r>
    <x v="382"/>
    <d v="2025-01-30T00:00:00"/>
    <s v="C26718"/>
    <x v="4"/>
    <n v="4"/>
    <n v="263.08999999999997"/>
    <s v="272 Main St"/>
    <x v="0"/>
    <x v="0"/>
    <s v="TRK91702525"/>
    <n v="8"/>
    <s v="SAVE10"/>
    <x v="4"/>
    <n v="1052.3599999999999"/>
    <n v="1052.3599999999999"/>
    <x v="0"/>
    <s v="Q1"/>
    <x v="0"/>
    <s v="Pending"/>
    <s v="Yes"/>
  </r>
  <r>
    <x v="383"/>
    <d v="2023-01-20T00:00:00"/>
    <s v="C18944"/>
    <x v="3"/>
    <n v="4"/>
    <n v="393.8"/>
    <s v="837 Main St"/>
    <x v="2"/>
    <x v="4"/>
    <s v="TRK45275439"/>
    <n v="7"/>
    <s v="SAVE10"/>
    <x v="2"/>
    <n v="1575.2"/>
    <n v="1575.2"/>
    <x v="0"/>
    <s v="Q1"/>
    <x v="0"/>
    <s v="Pending"/>
    <s v="Yes"/>
  </r>
  <r>
    <x v="384"/>
    <d v="2024-11-24T00:00:00"/>
    <s v="C35628"/>
    <x v="3"/>
    <n v="3"/>
    <n v="553.57000000000005"/>
    <s v="147 Main St"/>
    <x v="2"/>
    <x v="2"/>
    <s v="TRK45688220"/>
    <n v="4"/>
    <s v="FREESHIP"/>
    <x v="3"/>
    <n v="1660.71"/>
    <n v="1660.71"/>
    <x v="7"/>
    <s v="Q4"/>
    <x v="0"/>
    <s v="Pending"/>
    <s v="Yes"/>
  </r>
  <r>
    <x v="385"/>
    <d v="2023-10-31T00:00:00"/>
    <s v="C56851"/>
    <x v="3"/>
    <n v="5"/>
    <n v="191.63"/>
    <s v="752 Main St"/>
    <x v="3"/>
    <x v="3"/>
    <s v="TRK65290904"/>
    <n v="6"/>
    <s v="FREESHIP"/>
    <x v="3"/>
    <n v="958.15"/>
    <n v="958.15"/>
    <x v="3"/>
    <s v="Q4"/>
    <x v="0"/>
    <s v="Completed"/>
    <s v="Yes"/>
  </r>
  <r>
    <x v="386"/>
    <d v="2023-04-28T00:00:00"/>
    <s v="C12421"/>
    <x v="2"/>
    <n v="1"/>
    <n v="93.02"/>
    <s v="373 Main St"/>
    <x v="1"/>
    <x v="2"/>
    <s v="TRK32588504"/>
    <n v="4"/>
    <m/>
    <x v="2"/>
    <n v="93.02"/>
    <n v="93.02"/>
    <x v="6"/>
    <s v="Q2"/>
    <x v="2"/>
    <s v="Pending"/>
    <s v="No"/>
  </r>
  <r>
    <x v="387"/>
    <d v="2024-06-27T00:00:00"/>
    <s v="C25316"/>
    <x v="4"/>
    <n v="2"/>
    <n v="39.53"/>
    <s v="904 Main St"/>
    <x v="2"/>
    <x v="0"/>
    <s v="TRK55423551"/>
    <n v="3"/>
    <s v="WINTER15"/>
    <x v="4"/>
    <n v="79.06"/>
    <n v="79.06"/>
    <x v="5"/>
    <s v="Q2"/>
    <x v="2"/>
    <s v="Pending"/>
    <s v="Yes"/>
  </r>
  <r>
    <x v="388"/>
    <d v="2023-12-28T00:00:00"/>
    <s v="C22657"/>
    <x v="4"/>
    <n v="3"/>
    <n v="633.97"/>
    <s v="152 Main St"/>
    <x v="4"/>
    <x v="4"/>
    <s v="TRK49157047"/>
    <n v="7"/>
    <s v="WINTER15"/>
    <x v="3"/>
    <n v="1901.91"/>
    <n v="1901.91"/>
    <x v="8"/>
    <s v="Q4"/>
    <x v="0"/>
    <s v="Pending"/>
    <s v="Yes"/>
  </r>
  <r>
    <x v="389"/>
    <d v="2023-12-17T00:00:00"/>
    <s v="C29703"/>
    <x v="6"/>
    <n v="4"/>
    <n v="697.5"/>
    <s v="558 Main St"/>
    <x v="4"/>
    <x v="0"/>
    <s v="TRK40543461"/>
    <n v="7"/>
    <s v="FREESHIP"/>
    <x v="1"/>
    <n v="2790"/>
    <n v="2790"/>
    <x v="8"/>
    <s v="Q4"/>
    <x v="0"/>
    <s v="Pending"/>
    <s v="Yes"/>
  </r>
  <r>
    <x v="390"/>
    <d v="2023-07-14T00:00:00"/>
    <s v="C55996"/>
    <x v="4"/>
    <n v="5"/>
    <n v="508.69"/>
    <s v="885 Main St"/>
    <x v="4"/>
    <x v="3"/>
    <s v="TRK30547638"/>
    <n v="10"/>
    <s v="FREESHIP"/>
    <x v="4"/>
    <n v="2543.4499999999998"/>
    <n v="2543.4499999999998"/>
    <x v="10"/>
    <s v="Q3"/>
    <x v="0"/>
    <s v="Completed"/>
    <s v="Yes"/>
  </r>
  <r>
    <x v="391"/>
    <d v="2025-01-16T00:00:00"/>
    <s v="C60037"/>
    <x v="5"/>
    <n v="2"/>
    <n v="527.46"/>
    <s v="516 Main St"/>
    <x v="0"/>
    <x v="1"/>
    <s v="TRK82009557"/>
    <n v="3"/>
    <s v="FREESHIP"/>
    <x v="1"/>
    <n v="1054.92"/>
    <n v="1054.92"/>
    <x v="0"/>
    <s v="Q1"/>
    <x v="0"/>
    <s v="Pending"/>
    <s v="Yes"/>
  </r>
  <r>
    <x v="392"/>
    <d v="2024-02-28T00:00:00"/>
    <s v="C95100"/>
    <x v="1"/>
    <n v="1"/>
    <n v="627.20000000000005"/>
    <s v="197 Main St"/>
    <x v="1"/>
    <x v="3"/>
    <s v="TRK47366265"/>
    <n v="1"/>
    <s v="WINTER15"/>
    <x v="2"/>
    <n v="627.20000000000005"/>
    <n v="627.20000000000005"/>
    <x v="2"/>
    <s v="Q1"/>
    <x v="0"/>
    <s v="Completed"/>
    <s v="Yes"/>
  </r>
  <r>
    <x v="393"/>
    <d v="2024-07-14T00:00:00"/>
    <s v="C39906"/>
    <x v="4"/>
    <n v="1"/>
    <n v="75.010000000000005"/>
    <s v="921 Main St"/>
    <x v="2"/>
    <x v="2"/>
    <s v="TRK24632134"/>
    <n v="3"/>
    <m/>
    <x v="4"/>
    <n v="75.010000000000005"/>
    <n v="75.010000000000005"/>
    <x v="10"/>
    <s v="Q3"/>
    <x v="2"/>
    <s v="Pending"/>
    <s v="No"/>
  </r>
  <r>
    <x v="394"/>
    <d v="2023-07-05T00:00:00"/>
    <s v="C70148"/>
    <x v="6"/>
    <n v="5"/>
    <n v="529.54999999999995"/>
    <s v="359 Main St"/>
    <x v="3"/>
    <x v="0"/>
    <s v="TRK34848650"/>
    <n v="10"/>
    <m/>
    <x v="3"/>
    <n v="2647.75"/>
    <n v="2647.75"/>
    <x v="10"/>
    <s v="Q3"/>
    <x v="0"/>
    <s v="Pending"/>
    <s v="No"/>
  </r>
  <r>
    <x v="395"/>
    <d v="2025-04-25T00:00:00"/>
    <s v="C30010"/>
    <x v="1"/>
    <n v="3"/>
    <n v="127.41"/>
    <s v="830 Main St"/>
    <x v="3"/>
    <x v="3"/>
    <s v="TRK35386084"/>
    <n v="7"/>
    <s v="SAVE10"/>
    <x v="1"/>
    <n v="382.23"/>
    <n v="382.23"/>
    <x v="6"/>
    <s v="Q2"/>
    <x v="1"/>
    <s v="Completed"/>
    <s v="Yes"/>
  </r>
  <r>
    <x v="396"/>
    <d v="2023-12-01T00:00:00"/>
    <s v="C99217"/>
    <x v="2"/>
    <n v="5"/>
    <n v="287.13"/>
    <s v="778 Main St"/>
    <x v="1"/>
    <x v="0"/>
    <s v="TRK82004594"/>
    <n v="10"/>
    <s v="SAVE10"/>
    <x v="2"/>
    <n v="1435.65"/>
    <n v="1435.65"/>
    <x v="8"/>
    <s v="Q4"/>
    <x v="0"/>
    <s v="Pending"/>
    <s v="Yes"/>
  </r>
  <r>
    <x v="397"/>
    <d v="2023-09-28T00:00:00"/>
    <s v="C30184"/>
    <x v="0"/>
    <n v="1"/>
    <n v="427.06"/>
    <s v="987 Main St"/>
    <x v="1"/>
    <x v="1"/>
    <s v="TRK86674704"/>
    <n v="1"/>
    <s v="WINTER15"/>
    <x v="1"/>
    <n v="427.06"/>
    <n v="427.06"/>
    <x v="11"/>
    <s v="Q3"/>
    <x v="1"/>
    <s v="Pending"/>
    <s v="Yes"/>
  </r>
  <r>
    <x v="398"/>
    <d v="2024-09-04T00:00:00"/>
    <s v="C50275"/>
    <x v="1"/>
    <n v="5"/>
    <n v="53.93"/>
    <s v="729 Main St"/>
    <x v="3"/>
    <x v="0"/>
    <s v="TRK98925264"/>
    <n v="7"/>
    <s v="SAVE10"/>
    <x v="0"/>
    <n v="269.64999999999998"/>
    <n v="269.64999999999998"/>
    <x v="11"/>
    <s v="Q3"/>
    <x v="1"/>
    <s v="Pending"/>
    <s v="Yes"/>
  </r>
  <r>
    <x v="399"/>
    <d v="2024-01-07T00:00:00"/>
    <s v="C64641"/>
    <x v="2"/>
    <n v="5"/>
    <n v="423.93"/>
    <s v="319 Main St"/>
    <x v="0"/>
    <x v="2"/>
    <s v="TRK32012588"/>
    <n v="5"/>
    <s v="FREESHIP"/>
    <x v="3"/>
    <n v="2119.65"/>
    <n v="2119.65"/>
    <x v="0"/>
    <s v="Q1"/>
    <x v="0"/>
    <s v="Pending"/>
    <s v="Yes"/>
  </r>
  <r>
    <x v="400"/>
    <d v="2024-09-28T00:00:00"/>
    <s v="C56266"/>
    <x v="6"/>
    <n v="4"/>
    <n v="160.22"/>
    <s v="304 Main St"/>
    <x v="0"/>
    <x v="2"/>
    <s v="TRK60088901"/>
    <n v="9"/>
    <s v="WINTER15"/>
    <x v="0"/>
    <n v="640.88"/>
    <n v="640.88"/>
    <x v="11"/>
    <s v="Q3"/>
    <x v="0"/>
    <s v="Pending"/>
    <s v="Yes"/>
  </r>
  <r>
    <x v="401"/>
    <d v="2025-04-09T00:00:00"/>
    <s v="C98635"/>
    <x v="4"/>
    <n v="1"/>
    <n v="538.67999999999995"/>
    <s v="197 Main St"/>
    <x v="0"/>
    <x v="2"/>
    <s v="TRK14225465"/>
    <n v="6"/>
    <m/>
    <x v="1"/>
    <n v="538.67999999999995"/>
    <n v="538.67999999999995"/>
    <x v="6"/>
    <s v="Q2"/>
    <x v="0"/>
    <s v="Pending"/>
    <s v="No"/>
  </r>
  <r>
    <x v="402"/>
    <d v="2023-04-09T00:00:00"/>
    <s v="C83026"/>
    <x v="4"/>
    <n v="5"/>
    <n v="337.38"/>
    <s v="858 Main St"/>
    <x v="3"/>
    <x v="0"/>
    <s v="TRK79746259"/>
    <n v="5"/>
    <m/>
    <x v="1"/>
    <n v="1686.9"/>
    <n v="1686.9"/>
    <x v="6"/>
    <s v="Q2"/>
    <x v="0"/>
    <s v="Pending"/>
    <s v="No"/>
  </r>
  <r>
    <x v="403"/>
    <d v="2024-11-10T00:00:00"/>
    <s v="C28893"/>
    <x v="2"/>
    <n v="1"/>
    <n v="620.21"/>
    <s v="740 Main St"/>
    <x v="1"/>
    <x v="2"/>
    <s v="TRK98333066"/>
    <n v="1"/>
    <s v="FREESHIP"/>
    <x v="1"/>
    <n v="620.21"/>
    <n v="620.21"/>
    <x v="7"/>
    <s v="Q4"/>
    <x v="0"/>
    <s v="Pending"/>
    <s v="Yes"/>
  </r>
  <r>
    <x v="404"/>
    <d v="2023-03-09T00:00:00"/>
    <s v="C45482"/>
    <x v="0"/>
    <n v="2"/>
    <n v="99.1"/>
    <s v="440 Main St"/>
    <x v="4"/>
    <x v="3"/>
    <s v="TRK54571699"/>
    <n v="6"/>
    <m/>
    <x v="0"/>
    <n v="198.2"/>
    <n v="198.2"/>
    <x v="9"/>
    <s v="Q1"/>
    <x v="1"/>
    <s v="Completed"/>
    <s v="No"/>
  </r>
  <r>
    <x v="405"/>
    <d v="2025-01-26T00:00:00"/>
    <s v="C97774"/>
    <x v="0"/>
    <n v="4"/>
    <n v="451.97"/>
    <s v="603 Main St"/>
    <x v="1"/>
    <x v="1"/>
    <s v="TRK64664424"/>
    <n v="7"/>
    <s v="WINTER15"/>
    <x v="2"/>
    <n v="1807.88"/>
    <n v="1807.88"/>
    <x v="0"/>
    <s v="Q1"/>
    <x v="0"/>
    <s v="Pending"/>
    <s v="Yes"/>
  </r>
  <r>
    <x v="406"/>
    <d v="2023-12-10T00:00:00"/>
    <s v="C11657"/>
    <x v="2"/>
    <n v="4"/>
    <n v="66.099999999999994"/>
    <s v="572 Main St"/>
    <x v="4"/>
    <x v="2"/>
    <s v="TRK50284486"/>
    <n v="9"/>
    <s v="WINTER15"/>
    <x v="4"/>
    <n v="264.39999999999998"/>
    <n v="264.39999999999998"/>
    <x v="8"/>
    <s v="Q4"/>
    <x v="1"/>
    <s v="Pending"/>
    <s v="Yes"/>
  </r>
  <r>
    <x v="407"/>
    <d v="2023-08-13T00:00:00"/>
    <s v="C85993"/>
    <x v="2"/>
    <n v="4"/>
    <n v="547.32000000000005"/>
    <s v="250 Main St"/>
    <x v="4"/>
    <x v="2"/>
    <s v="TRK72547640"/>
    <n v="8"/>
    <s v="FREESHIP"/>
    <x v="0"/>
    <n v="2189.2800000000002"/>
    <n v="2189.2800000000002"/>
    <x v="1"/>
    <s v="Q3"/>
    <x v="0"/>
    <s v="Pending"/>
    <s v="Yes"/>
  </r>
  <r>
    <x v="408"/>
    <d v="2025-01-01T00:00:00"/>
    <s v="C11906"/>
    <x v="4"/>
    <n v="3"/>
    <n v="412.53"/>
    <s v="536 Main St"/>
    <x v="1"/>
    <x v="4"/>
    <s v="TRK31140158"/>
    <n v="6"/>
    <s v="WINTER15"/>
    <x v="4"/>
    <n v="1237.5899999999999"/>
    <n v="1237.5899999999999"/>
    <x v="0"/>
    <s v="Q1"/>
    <x v="0"/>
    <s v="Pending"/>
    <s v="Yes"/>
  </r>
  <r>
    <x v="409"/>
    <d v="2023-06-28T00:00:00"/>
    <s v="C45187"/>
    <x v="6"/>
    <n v="5"/>
    <n v="84.13"/>
    <s v="767 Main St"/>
    <x v="1"/>
    <x v="3"/>
    <s v="TRK12320793"/>
    <n v="9"/>
    <s v="SAVE10"/>
    <x v="4"/>
    <n v="420.65"/>
    <n v="420.65"/>
    <x v="5"/>
    <s v="Q2"/>
    <x v="1"/>
    <s v="Completed"/>
    <s v="Yes"/>
  </r>
  <r>
    <x v="410"/>
    <d v="2024-01-18T00:00:00"/>
    <s v="C37375"/>
    <x v="2"/>
    <n v="2"/>
    <n v="518.23"/>
    <s v="184 Main St"/>
    <x v="0"/>
    <x v="0"/>
    <s v="TRK52470162"/>
    <n v="5"/>
    <m/>
    <x v="2"/>
    <n v="1036.46"/>
    <n v="1036.46"/>
    <x v="0"/>
    <s v="Q1"/>
    <x v="0"/>
    <s v="Pending"/>
    <s v="No"/>
  </r>
  <r>
    <x v="411"/>
    <d v="2024-06-19T00:00:00"/>
    <s v="C66567"/>
    <x v="6"/>
    <n v="2"/>
    <n v="39.51"/>
    <s v="981 Main St"/>
    <x v="1"/>
    <x v="0"/>
    <s v="TRK21174822"/>
    <n v="5"/>
    <m/>
    <x v="3"/>
    <n v="79.02"/>
    <n v="79.02"/>
    <x v="5"/>
    <s v="Q2"/>
    <x v="2"/>
    <s v="Pending"/>
    <s v="No"/>
  </r>
  <r>
    <x v="412"/>
    <d v="2025-04-11T00:00:00"/>
    <s v="C42451"/>
    <x v="2"/>
    <n v="5"/>
    <n v="133.01"/>
    <s v="246 Main St"/>
    <x v="2"/>
    <x v="2"/>
    <s v="TRK31313343"/>
    <n v="10"/>
    <m/>
    <x v="3"/>
    <n v="665.05"/>
    <n v="665.05"/>
    <x v="6"/>
    <s v="Q2"/>
    <x v="0"/>
    <s v="Pending"/>
    <s v="No"/>
  </r>
  <r>
    <x v="413"/>
    <d v="2023-10-08T00:00:00"/>
    <s v="C13923"/>
    <x v="2"/>
    <n v="1"/>
    <n v="118.8"/>
    <s v="123 Main St"/>
    <x v="1"/>
    <x v="3"/>
    <s v="TRK87598790"/>
    <n v="6"/>
    <s v="SAVE10"/>
    <x v="2"/>
    <n v="118.8"/>
    <n v="118.8"/>
    <x v="3"/>
    <s v="Q4"/>
    <x v="1"/>
    <s v="Completed"/>
    <s v="Yes"/>
  </r>
  <r>
    <x v="414"/>
    <d v="2025-05-04T00:00:00"/>
    <s v="C11829"/>
    <x v="6"/>
    <n v="2"/>
    <n v="139.57"/>
    <s v="797 Main St"/>
    <x v="4"/>
    <x v="3"/>
    <s v="TRK84229257"/>
    <n v="4"/>
    <s v="WINTER15"/>
    <x v="3"/>
    <n v="279.14"/>
    <n v="279.14"/>
    <x v="4"/>
    <s v="Q2"/>
    <x v="1"/>
    <s v="Completed"/>
    <s v="Yes"/>
  </r>
  <r>
    <x v="415"/>
    <d v="2025-04-06T00:00:00"/>
    <s v="C62169"/>
    <x v="3"/>
    <n v="1"/>
    <n v="184.15"/>
    <s v="655 Main St"/>
    <x v="3"/>
    <x v="0"/>
    <s v="TRK64558985"/>
    <n v="5"/>
    <s v="FREESHIP"/>
    <x v="3"/>
    <n v="184.15"/>
    <n v="184.15"/>
    <x v="6"/>
    <s v="Q2"/>
    <x v="1"/>
    <s v="Pending"/>
    <s v="Yes"/>
  </r>
  <r>
    <x v="416"/>
    <d v="2023-07-18T00:00:00"/>
    <s v="C20881"/>
    <x v="5"/>
    <n v="2"/>
    <n v="644.04999999999995"/>
    <s v="652 Main St"/>
    <x v="3"/>
    <x v="1"/>
    <s v="TRK26263902"/>
    <n v="5"/>
    <s v="WINTER15"/>
    <x v="1"/>
    <n v="1288.0999999999999"/>
    <n v="1288.0999999999999"/>
    <x v="10"/>
    <s v="Q3"/>
    <x v="0"/>
    <s v="Pending"/>
    <s v="Yes"/>
  </r>
  <r>
    <x v="417"/>
    <d v="2023-10-24T00:00:00"/>
    <s v="C44492"/>
    <x v="5"/>
    <n v="5"/>
    <n v="55.41"/>
    <s v="954 Main St"/>
    <x v="1"/>
    <x v="1"/>
    <s v="TRK51429869"/>
    <n v="5"/>
    <m/>
    <x v="4"/>
    <n v="277.05"/>
    <n v="277.04999999999995"/>
    <x v="3"/>
    <s v="Q4"/>
    <x v="1"/>
    <s v="Pending"/>
    <s v="No"/>
  </r>
  <r>
    <x v="418"/>
    <d v="2023-01-11T00:00:00"/>
    <s v="C74169"/>
    <x v="4"/>
    <n v="1"/>
    <n v="310.93"/>
    <s v="862 Main St"/>
    <x v="1"/>
    <x v="1"/>
    <s v="TRK66144809"/>
    <n v="3"/>
    <m/>
    <x v="3"/>
    <n v="310.93"/>
    <n v="310.93"/>
    <x v="0"/>
    <s v="Q1"/>
    <x v="1"/>
    <s v="Pending"/>
    <s v="No"/>
  </r>
  <r>
    <x v="419"/>
    <d v="2024-04-17T00:00:00"/>
    <s v="C70999"/>
    <x v="2"/>
    <n v="2"/>
    <n v="216.66"/>
    <s v="885 Main St"/>
    <x v="0"/>
    <x v="4"/>
    <s v="TRK75644156"/>
    <n v="6"/>
    <s v="FREESHIP"/>
    <x v="0"/>
    <n v="433.32"/>
    <n v="433.32"/>
    <x v="6"/>
    <s v="Q2"/>
    <x v="1"/>
    <s v="Pending"/>
    <s v="Yes"/>
  </r>
  <r>
    <x v="420"/>
    <d v="2024-11-29T00:00:00"/>
    <s v="C11921"/>
    <x v="1"/>
    <n v="1"/>
    <n v="452.7"/>
    <s v="439 Main St"/>
    <x v="0"/>
    <x v="0"/>
    <s v="TRK91362635"/>
    <n v="5"/>
    <s v="FREESHIP"/>
    <x v="0"/>
    <n v="452.7"/>
    <n v="452.7"/>
    <x v="7"/>
    <s v="Q4"/>
    <x v="1"/>
    <s v="Pending"/>
    <s v="Yes"/>
  </r>
  <r>
    <x v="421"/>
    <d v="2023-10-15T00:00:00"/>
    <s v="C50683"/>
    <x v="3"/>
    <n v="2"/>
    <n v="288.20999999999998"/>
    <s v="769 Main St"/>
    <x v="0"/>
    <x v="1"/>
    <s v="TRK53032122"/>
    <n v="5"/>
    <m/>
    <x v="2"/>
    <n v="576.41999999999996"/>
    <n v="576.41999999999996"/>
    <x v="3"/>
    <s v="Q4"/>
    <x v="0"/>
    <s v="Pending"/>
    <s v="No"/>
  </r>
  <r>
    <x v="422"/>
    <d v="2023-06-05T00:00:00"/>
    <s v="C76140"/>
    <x v="1"/>
    <n v="4"/>
    <n v="206.6"/>
    <s v="914 Main St"/>
    <x v="3"/>
    <x v="2"/>
    <s v="TRK25861469"/>
    <n v="6"/>
    <s v="WINTER15"/>
    <x v="1"/>
    <n v="826.4"/>
    <n v="826.4"/>
    <x v="5"/>
    <s v="Q2"/>
    <x v="0"/>
    <s v="Pending"/>
    <s v="Yes"/>
  </r>
  <r>
    <x v="423"/>
    <d v="2024-07-20T00:00:00"/>
    <s v="C94311"/>
    <x v="4"/>
    <n v="4"/>
    <n v="685.2"/>
    <s v="195 Main St"/>
    <x v="3"/>
    <x v="1"/>
    <s v="TRK97308771"/>
    <n v="6"/>
    <s v="WINTER15"/>
    <x v="4"/>
    <n v="2740.8"/>
    <n v="2740.8"/>
    <x v="10"/>
    <s v="Q3"/>
    <x v="0"/>
    <s v="Pending"/>
    <s v="Yes"/>
  </r>
  <r>
    <x v="424"/>
    <d v="2023-04-12T00:00:00"/>
    <s v="C49491"/>
    <x v="3"/>
    <n v="5"/>
    <n v="22.94"/>
    <s v="339 Main St"/>
    <x v="4"/>
    <x v="4"/>
    <s v="TRK64012257"/>
    <n v="10"/>
    <m/>
    <x v="2"/>
    <n v="114.7"/>
    <n v="114.7"/>
    <x v="6"/>
    <s v="Q2"/>
    <x v="1"/>
    <s v="Pending"/>
    <s v="No"/>
  </r>
  <r>
    <x v="425"/>
    <d v="2023-03-09T00:00:00"/>
    <s v="C40648"/>
    <x v="5"/>
    <n v="2"/>
    <n v="301.88"/>
    <s v="488 Main St"/>
    <x v="3"/>
    <x v="2"/>
    <s v="TRK25325993"/>
    <n v="5"/>
    <s v="WINTER15"/>
    <x v="2"/>
    <n v="603.76"/>
    <n v="603.76"/>
    <x v="9"/>
    <s v="Q1"/>
    <x v="0"/>
    <s v="Pending"/>
    <s v="Yes"/>
  </r>
  <r>
    <x v="426"/>
    <d v="2025-03-16T00:00:00"/>
    <s v="C40967"/>
    <x v="0"/>
    <n v="5"/>
    <n v="57.45"/>
    <s v="315 Main St"/>
    <x v="4"/>
    <x v="1"/>
    <s v="TRK24839296"/>
    <n v="10"/>
    <m/>
    <x v="3"/>
    <n v="287.25"/>
    <n v="287.25"/>
    <x v="9"/>
    <s v="Q1"/>
    <x v="1"/>
    <s v="Pending"/>
    <s v="No"/>
  </r>
  <r>
    <x v="427"/>
    <d v="2024-12-18T00:00:00"/>
    <s v="C25406"/>
    <x v="6"/>
    <n v="1"/>
    <n v="161.24"/>
    <s v="379 Main St"/>
    <x v="2"/>
    <x v="4"/>
    <s v="TRK70952564"/>
    <n v="3"/>
    <s v="WINTER15"/>
    <x v="0"/>
    <n v="161.24"/>
    <n v="161.24"/>
    <x v="8"/>
    <s v="Q4"/>
    <x v="1"/>
    <s v="Pending"/>
    <s v="Yes"/>
  </r>
  <r>
    <x v="428"/>
    <d v="2024-11-26T00:00:00"/>
    <s v="C77085"/>
    <x v="3"/>
    <n v="4"/>
    <n v="262.58"/>
    <s v="895 Main St"/>
    <x v="1"/>
    <x v="1"/>
    <s v="TRK57227640"/>
    <n v="8"/>
    <s v="WINTER15"/>
    <x v="2"/>
    <n v="1050.32"/>
    <n v="1050.32"/>
    <x v="7"/>
    <s v="Q4"/>
    <x v="0"/>
    <s v="Pending"/>
    <s v="Yes"/>
  </r>
  <r>
    <x v="429"/>
    <d v="2024-12-19T00:00:00"/>
    <s v="C38126"/>
    <x v="4"/>
    <n v="4"/>
    <n v="515.19000000000005"/>
    <s v="522 Main St"/>
    <x v="2"/>
    <x v="4"/>
    <s v="TRK90838498"/>
    <n v="9"/>
    <s v="SAVE10"/>
    <x v="3"/>
    <n v="2060.7600000000002"/>
    <n v="2060.7600000000002"/>
    <x v="8"/>
    <s v="Q4"/>
    <x v="0"/>
    <s v="Pending"/>
    <s v="Yes"/>
  </r>
  <r>
    <x v="430"/>
    <d v="2023-06-07T00:00:00"/>
    <s v="C87448"/>
    <x v="1"/>
    <n v="1"/>
    <n v="450.07"/>
    <s v="433 Main St"/>
    <x v="3"/>
    <x v="0"/>
    <s v="TRK44134016"/>
    <n v="6"/>
    <s v="FREESHIP"/>
    <x v="4"/>
    <n v="450.07"/>
    <n v="450.07"/>
    <x v="5"/>
    <s v="Q2"/>
    <x v="1"/>
    <s v="Pending"/>
    <s v="Yes"/>
  </r>
  <r>
    <x v="431"/>
    <d v="2024-10-06T00:00:00"/>
    <s v="C62312"/>
    <x v="4"/>
    <n v="1"/>
    <n v="52.54"/>
    <s v="651 Main St"/>
    <x v="0"/>
    <x v="1"/>
    <s v="TRK59623037"/>
    <n v="6"/>
    <s v="WINTER15"/>
    <x v="3"/>
    <n v="52.54"/>
    <n v="52.54"/>
    <x v="3"/>
    <s v="Q4"/>
    <x v="2"/>
    <s v="Pending"/>
    <s v="Yes"/>
  </r>
  <r>
    <x v="432"/>
    <d v="2023-09-04T00:00:00"/>
    <s v="C58443"/>
    <x v="2"/>
    <n v="2"/>
    <n v="424.32"/>
    <s v="662 Main St"/>
    <x v="2"/>
    <x v="2"/>
    <s v="TRK77163738"/>
    <n v="6"/>
    <m/>
    <x v="1"/>
    <n v="848.64"/>
    <n v="848.64"/>
    <x v="11"/>
    <s v="Q3"/>
    <x v="0"/>
    <s v="Pending"/>
    <s v="No"/>
  </r>
  <r>
    <x v="433"/>
    <d v="2023-08-26T00:00:00"/>
    <s v="C36613"/>
    <x v="0"/>
    <n v="3"/>
    <n v="631.64"/>
    <s v="785 Main St"/>
    <x v="2"/>
    <x v="2"/>
    <s v="TRK13282106"/>
    <n v="3"/>
    <s v="FREESHIP"/>
    <x v="3"/>
    <n v="1894.92"/>
    <n v="1894.92"/>
    <x v="1"/>
    <s v="Q3"/>
    <x v="0"/>
    <s v="Pending"/>
    <s v="Yes"/>
  </r>
  <r>
    <x v="434"/>
    <d v="2023-10-22T00:00:00"/>
    <s v="C73893"/>
    <x v="4"/>
    <n v="5"/>
    <n v="327.68"/>
    <s v="384 Main St"/>
    <x v="2"/>
    <x v="2"/>
    <s v="TRK85939879"/>
    <n v="6"/>
    <m/>
    <x v="3"/>
    <n v="1638.4"/>
    <n v="1638.4"/>
    <x v="3"/>
    <s v="Q4"/>
    <x v="0"/>
    <s v="Pending"/>
    <s v="No"/>
  </r>
  <r>
    <x v="435"/>
    <d v="2023-05-27T00:00:00"/>
    <s v="C48601"/>
    <x v="4"/>
    <n v="1"/>
    <n v="414.47"/>
    <s v="101 Main St"/>
    <x v="0"/>
    <x v="2"/>
    <s v="TRK97868309"/>
    <n v="3"/>
    <s v="FREESHIP"/>
    <x v="0"/>
    <n v="414.47"/>
    <n v="414.47"/>
    <x v="4"/>
    <s v="Q2"/>
    <x v="1"/>
    <s v="Pending"/>
    <s v="Yes"/>
  </r>
  <r>
    <x v="436"/>
    <d v="2023-02-11T00:00:00"/>
    <s v="C14568"/>
    <x v="5"/>
    <n v="4"/>
    <n v="221.33"/>
    <s v="651 Main St"/>
    <x v="1"/>
    <x v="4"/>
    <s v="TRK73545796"/>
    <n v="5"/>
    <m/>
    <x v="4"/>
    <n v="885.32"/>
    <n v="885.32"/>
    <x v="2"/>
    <s v="Q1"/>
    <x v="0"/>
    <s v="Pending"/>
    <s v="No"/>
  </r>
  <r>
    <x v="437"/>
    <d v="2024-04-18T00:00:00"/>
    <s v="C63378"/>
    <x v="1"/>
    <n v="1"/>
    <n v="512.39"/>
    <s v="955 Main St"/>
    <x v="1"/>
    <x v="3"/>
    <s v="TRK20863705"/>
    <n v="2"/>
    <s v="FREESHIP"/>
    <x v="0"/>
    <n v="512.39"/>
    <n v="512.39"/>
    <x v="6"/>
    <s v="Q2"/>
    <x v="0"/>
    <s v="Completed"/>
    <s v="Yes"/>
  </r>
  <r>
    <x v="438"/>
    <d v="2025-01-03T00:00:00"/>
    <s v="C77800"/>
    <x v="2"/>
    <n v="3"/>
    <n v="459.34"/>
    <s v="436 Main St"/>
    <x v="3"/>
    <x v="4"/>
    <s v="TRK27439574"/>
    <n v="3"/>
    <s v="SAVE10"/>
    <x v="0"/>
    <n v="1378.02"/>
    <n v="1378.02"/>
    <x v="0"/>
    <s v="Q1"/>
    <x v="0"/>
    <s v="Pending"/>
    <s v="Yes"/>
  </r>
  <r>
    <x v="439"/>
    <d v="2024-09-08T00:00:00"/>
    <s v="C91155"/>
    <x v="2"/>
    <n v="1"/>
    <n v="146.32"/>
    <s v="321 Main St"/>
    <x v="1"/>
    <x v="0"/>
    <s v="TRK36260319"/>
    <n v="4"/>
    <s v="WINTER15"/>
    <x v="3"/>
    <n v="146.32"/>
    <n v="146.32"/>
    <x v="11"/>
    <s v="Q3"/>
    <x v="1"/>
    <s v="Pending"/>
    <s v="Yes"/>
  </r>
  <r>
    <x v="440"/>
    <d v="2024-11-05T00:00:00"/>
    <s v="C60215"/>
    <x v="6"/>
    <n v="4"/>
    <n v="83.6"/>
    <s v="978 Main St"/>
    <x v="0"/>
    <x v="4"/>
    <s v="TRK31727767"/>
    <n v="4"/>
    <s v="SAVE10"/>
    <x v="3"/>
    <n v="334.4"/>
    <n v="334.4"/>
    <x v="7"/>
    <s v="Q4"/>
    <x v="1"/>
    <s v="Pending"/>
    <s v="Yes"/>
  </r>
  <r>
    <x v="441"/>
    <d v="2023-12-13T00:00:00"/>
    <s v="C52915"/>
    <x v="4"/>
    <n v="2"/>
    <n v="328.54"/>
    <s v="475 Main St"/>
    <x v="3"/>
    <x v="2"/>
    <s v="TRK79466982"/>
    <n v="6"/>
    <s v="FREESHIP"/>
    <x v="2"/>
    <n v="657.08"/>
    <n v="657.08"/>
    <x v="8"/>
    <s v="Q4"/>
    <x v="0"/>
    <s v="Pending"/>
    <s v="Yes"/>
  </r>
  <r>
    <x v="442"/>
    <d v="2024-05-06T00:00:00"/>
    <s v="C72588"/>
    <x v="3"/>
    <n v="5"/>
    <n v="314.94"/>
    <s v="661 Main St"/>
    <x v="4"/>
    <x v="4"/>
    <s v="TRK43410829"/>
    <n v="8"/>
    <s v="SAVE10"/>
    <x v="0"/>
    <n v="1574.7"/>
    <n v="1574.7"/>
    <x v="4"/>
    <s v="Q2"/>
    <x v="0"/>
    <s v="Pending"/>
    <s v="Yes"/>
  </r>
  <r>
    <x v="443"/>
    <d v="2024-05-14T00:00:00"/>
    <s v="C61668"/>
    <x v="3"/>
    <n v="2"/>
    <n v="69.64"/>
    <s v="813 Main St"/>
    <x v="4"/>
    <x v="2"/>
    <s v="TRK58970302"/>
    <n v="6"/>
    <m/>
    <x v="3"/>
    <n v="139.28"/>
    <n v="139.28"/>
    <x v="4"/>
    <s v="Q2"/>
    <x v="1"/>
    <s v="Pending"/>
    <s v="No"/>
  </r>
  <r>
    <x v="444"/>
    <d v="2024-06-08T00:00:00"/>
    <s v="C79508"/>
    <x v="4"/>
    <n v="1"/>
    <n v="135.16999999999999"/>
    <s v="585 Main St"/>
    <x v="1"/>
    <x v="0"/>
    <s v="TRK61882353"/>
    <n v="6"/>
    <s v="FREESHIP"/>
    <x v="0"/>
    <n v="135.16999999999999"/>
    <n v="135.16999999999999"/>
    <x v="5"/>
    <s v="Q2"/>
    <x v="1"/>
    <s v="Pending"/>
    <s v="Yes"/>
  </r>
  <r>
    <x v="445"/>
    <d v="2024-03-23T00:00:00"/>
    <s v="C94569"/>
    <x v="1"/>
    <n v="1"/>
    <n v="487.21"/>
    <s v="227 Main St"/>
    <x v="4"/>
    <x v="3"/>
    <s v="TRK31351770"/>
    <n v="3"/>
    <s v="SAVE10"/>
    <x v="1"/>
    <n v="487.21"/>
    <n v="487.21"/>
    <x v="9"/>
    <s v="Q1"/>
    <x v="1"/>
    <s v="Completed"/>
    <s v="Yes"/>
  </r>
  <r>
    <x v="446"/>
    <d v="2023-10-18T00:00:00"/>
    <s v="C89592"/>
    <x v="5"/>
    <n v="5"/>
    <n v="509.58"/>
    <s v="262 Main St"/>
    <x v="1"/>
    <x v="3"/>
    <s v="TRK49442402"/>
    <n v="6"/>
    <s v="FREESHIP"/>
    <x v="0"/>
    <n v="2547.9"/>
    <n v="2547.9"/>
    <x v="3"/>
    <s v="Q4"/>
    <x v="0"/>
    <s v="Completed"/>
    <s v="Yes"/>
  </r>
  <r>
    <x v="447"/>
    <d v="2024-04-07T00:00:00"/>
    <s v="C48207"/>
    <x v="4"/>
    <n v="2"/>
    <n v="416.81"/>
    <s v="356 Main St"/>
    <x v="4"/>
    <x v="2"/>
    <s v="TRK45355655"/>
    <n v="2"/>
    <m/>
    <x v="3"/>
    <n v="833.62"/>
    <n v="833.62"/>
    <x v="6"/>
    <s v="Q2"/>
    <x v="0"/>
    <s v="Pending"/>
    <s v="No"/>
  </r>
  <r>
    <x v="448"/>
    <d v="2023-09-04T00:00:00"/>
    <s v="C16776"/>
    <x v="5"/>
    <n v="2"/>
    <n v="160"/>
    <s v="854 Main St"/>
    <x v="4"/>
    <x v="4"/>
    <s v="TRK12860600"/>
    <n v="4"/>
    <s v="SAVE10"/>
    <x v="0"/>
    <n v="320"/>
    <n v="320"/>
    <x v="11"/>
    <s v="Q3"/>
    <x v="1"/>
    <s v="Pending"/>
    <s v="Yes"/>
  </r>
  <r>
    <x v="449"/>
    <d v="2024-08-26T00:00:00"/>
    <s v="C91518"/>
    <x v="2"/>
    <n v="3"/>
    <n v="253.05"/>
    <s v="286 Main St"/>
    <x v="1"/>
    <x v="4"/>
    <s v="TRK48688724"/>
    <n v="3"/>
    <m/>
    <x v="0"/>
    <n v="759.15000000000009"/>
    <n v="759.15000000000009"/>
    <x v="1"/>
    <s v="Q3"/>
    <x v="0"/>
    <s v="Pending"/>
    <s v="No"/>
  </r>
  <r>
    <x v="450"/>
    <d v="2024-01-15T00:00:00"/>
    <s v="C36408"/>
    <x v="0"/>
    <n v="5"/>
    <n v="615.1"/>
    <s v="160 Main St"/>
    <x v="3"/>
    <x v="2"/>
    <s v="TRK94023253"/>
    <n v="10"/>
    <s v="WINTER15"/>
    <x v="0"/>
    <n v="3075.5"/>
    <n v="3075.5"/>
    <x v="0"/>
    <s v="Q1"/>
    <x v="0"/>
    <s v="Pending"/>
    <s v="Yes"/>
  </r>
  <r>
    <x v="451"/>
    <d v="2023-04-01T00:00:00"/>
    <s v="C14837"/>
    <x v="0"/>
    <n v="1"/>
    <n v="183.18"/>
    <s v="647 Main St"/>
    <x v="0"/>
    <x v="1"/>
    <s v="TRK17501136"/>
    <n v="6"/>
    <s v="SAVE10"/>
    <x v="2"/>
    <n v="183.18"/>
    <n v="183.18"/>
    <x v="6"/>
    <s v="Q2"/>
    <x v="1"/>
    <s v="Pending"/>
    <s v="Yes"/>
  </r>
  <r>
    <x v="452"/>
    <d v="2023-07-23T00:00:00"/>
    <s v="C36467"/>
    <x v="4"/>
    <n v="1"/>
    <n v="75.78"/>
    <s v="581 Main St"/>
    <x v="4"/>
    <x v="4"/>
    <s v="TRK20863987"/>
    <n v="5"/>
    <s v="SAVE10"/>
    <x v="4"/>
    <n v="75.78"/>
    <n v="75.78"/>
    <x v="10"/>
    <s v="Q3"/>
    <x v="2"/>
    <s v="Pending"/>
    <s v="Yes"/>
  </r>
  <r>
    <x v="453"/>
    <d v="2025-05-02T00:00:00"/>
    <s v="C15017"/>
    <x v="2"/>
    <n v="1"/>
    <n v="675.57"/>
    <s v="492 Main St"/>
    <x v="4"/>
    <x v="0"/>
    <s v="TRK51241924"/>
    <n v="1"/>
    <s v="WINTER15"/>
    <x v="3"/>
    <n v="675.57"/>
    <n v="675.57"/>
    <x v="4"/>
    <s v="Q2"/>
    <x v="0"/>
    <s v="Pending"/>
    <s v="Yes"/>
  </r>
  <r>
    <x v="454"/>
    <d v="2024-11-27T00:00:00"/>
    <s v="C54759"/>
    <x v="5"/>
    <n v="1"/>
    <n v="109.29"/>
    <s v="686 Main St"/>
    <x v="0"/>
    <x v="1"/>
    <s v="TRK75583042"/>
    <n v="5"/>
    <s v="FREESHIP"/>
    <x v="4"/>
    <n v="109.29"/>
    <n v="109.29"/>
    <x v="7"/>
    <s v="Q4"/>
    <x v="1"/>
    <s v="Pending"/>
    <s v="Yes"/>
  </r>
  <r>
    <x v="455"/>
    <d v="2024-03-26T00:00:00"/>
    <s v="C58341"/>
    <x v="1"/>
    <n v="1"/>
    <n v="639.83000000000004"/>
    <s v="874 Main St"/>
    <x v="0"/>
    <x v="4"/>
    <s v="TRK32856728"/>
    <n v="2"/>
    <s v="SAVE10"/>
    <x v="1"/>
    <n v="639.83000000000004"/>
    <n v="639.83000000000004"/>
    <x v="9"/>
    <s v="Q1"/>
    <x v="0"/>
    <s v="Pending"/>
    <s v="Yes"/>
  </r>
  <r>
    <x v="456"/>
    <d v="2023-06-26T00:00:00"/>
    <s v="C94479"/>
    <x v="6"/>
    <n v="5"/>
    <n v="62.81"/>
    <s v="259 Main St"/>
    <x v="2"/>
    <x v="0"/>
    <s v="TRK69089975"/>
    <n v="9"/>
    <s v="SAVE10"/>
    <x v="3"/>
    <n v="314.05"/>
    <n v="314.05"/>
    <x v="5"/>
    <s v="Q2"/>
    <x v="1"/>
    <s v="Pending"/>
    <s v="Yes"/>
  </r>
  <r>
    <x v="457"/>
    <d v="2025-05-25T00:00:00"/>
    <s v="C50236"/>
    <x v="6"/>
    <n v="4"/>
    <n v="615.83000000000004"/>
    <s v="545 Main St"/>
    <x v="1"/>
    <x v="2"/>
    <s v="TRK67692578"/>
    <n v="4"/>
    <s v="WINTER15"/>
    <x v="0"/>
    <n v="2463.3200000000002"/>
    <n v="2463.3200000000002"/>
    <x v="4"/>
    <s v="Q2"/>
    <x v="0"/>
    <s v="Pending"/>
    <s v="Yes"/>
  </r>
  <r>
    <x v="458"/>
    <d v="2024-07-02T00:00:00"/>
    <s v="C31412"/>
    <x v="0"/>
    <n v="4"/>
    <n v="510.58"/>
    <s v="196 Main St"/>
    <x v="2"/>
    <x v="2"/>
    <s v="TRK61946127"/>
    <n v="7"/>
    <s v="WINTER15"/>
    <x v="2"/>
    <n v="2042.32"/>
    <n v="2042.32"/>
    <x v="10"/>
    <s v="Q3"/>
    <x v="0"/>
    <s v="Pending"/>
    <s v="Yes"/>
  </r>
  <r>
    <x v="459"/>
    <d v="2024-07-24T00:00:00"/>
    <s v="C90142"/>
    <x v="6"/>
    <n v="1"/>
    <n v="334.39"/>
    <s v="433 Main St"/>
    <x v="2"/>
    <x v="2"/>
    <s v="TRK39717191"/>
    <n v="2"/>
    <m/>
    <x v="0"/>
    <n v="334.39"/>
    <n v="334.39"/>
    <x v="10"/>
    <s v="Q3"/>
    <x v="1"/>
    <s v="Pending"/>
    <s v="No"/>
  </r>
  <r>
    <x v="460"/>
    <d v="2024-10-06T00:00:00"/>
    <s v="C83548"/>
    <x v="5"/>
    <n v="1"/>
    <n v="144.25"/>
    <s v="474 Main St"/>
    <x v="4"/>
    <x v="2"/>
    <s v="TRK93822942"/>
    <n v="2"/>
    <s v="WINTER15"/>
    <x v="1"/>
    <n v="144.25"/>
    <n v="144.25"/>
    <x v="3"/>
    <s v="Q4"/>
    <x v="1"/>
    <s v="Pending"/>
    <s v="Yes"/>
  </r>
  <r>
    <x v="461"/>
    <d v="2024-06-08T00:00:00"/>
    <s v="C29697"/>
    <x v="2"/>
    <n v="1"/>
    <n v="401.82"/>
    <s v="407 Main St"/>
    <x v="2"/>
    <x v="0"/>
    <s v="TRK47776482"/>
    <n v="5"/>
    <s v="FREESHIP"/>
    <x v="4"/>
    <n v="401.82"/>
    <n v="401.82"/>
    <x v="5"/>
    <s v="Q2"/>
    <x v="1"/>
    <s v="Pending"/>
    <s v="Yes"/>
  </r>
  <r>
    <x v="462"/>
    <d v="2025-03-31T00:00:00"/>
    <s v="C22991"/>
    <x v="1"/>
    <n v="1"/>
    <n v="252.68"/>
    <s v="731 Main St"/>
    <x v="1"/>
    <x v="1"/>
    <s v="TRK32796086"/>
    <n v="1"/>
    <m/>
    <x v="1"/>
    <n v="252.68"/>
    <n v="252.68"/>
    <x v="9"/>
    <s v="Q1"/>
    <x v="1"/>
    <s v="Pending"/>
    <s v="No"/>
  </r>
  <r>
    <x v="463"/>
    <d v="2023-05-26T00:00:00"/>
    <s v="C25276"/>
    <x v="5"/>
    <n v="5"/>
    <n v="662.78"/>
    <s v="214 Main St"/>
    <x v="0"/>
    <x v="0"/>
    <s v="TRK14011732"/>
    <n v="9"/>
    <s v="SAVE10"/>
    <x v="0"/>
    <n v="3313.9"/>
    <n v="3313.8999999999996"/>
    <x v="4"/>
    <s v="Q2"/>
    <x v="0"/>
    <s v="Pending"/>
    <s v="Yes"/>
  </r>
  <r>
    <x v="464"/>
    <d v="2023-03-14T00:00:00"/>
    <s v="C39176"/>
    <x v="2"/>
    <n v="4"/>
    <n v="434.42"/>
    <s v="739 Main St"/>
    <x v="1"/>
    <x v="1"/>
    <s v="TRK71418686"/>
    <n v="6"/>
    <s v="FREESHIP"/>
    <x v="4"/>
    <n v="1737.68"/>
    <n v="1737.68"/>
    <x v="9"/>
    <s v="Q1"/>
    <x v="0"/>
    <s v="Pending"/>
    <s v="Yes"/>
  </r>
  <r>
    <x v="465"/>
    <d v="2024-02-26T00:00:00"/>
    <s v="C58773"/>
    <x v="4"/>
    <n v="5"/>
    <n v="513.49"/>
    <s v="391 Main St"/>
    <x v="3"/>
    <x v="1"/>
    <s v="TRK65438300"/>
    <n v="8"/>
    <m/>
    <x v="4"/>
    <n v="2567.4499999999998"/>
    <n v="2567.4499999999998"/>
    <x v="2"/>
    <s v="Q1"/>
    <x v="0"/>
    <s v="Pending"/>
    <s v="No"/>
  </r>
  <r>
    <x v="466"/>
    <d v="2023-07-18T00:00:00"/>
    <s v="C37412"/>
    <x v="1"/>
    <n v="1"/>
    <n v="432.47"/>
    <s v="895 Main St"/>
    <x v="4"/>
    <x v="3"/>
    <s v="TRK97829604"/>
    <n v="4"/>
    <s v="FREESHIP"/>
    <x v="1"/>
    <n v="432.47"/>
    <n v="432.47"/>
    <x v="10"/>
    <s v="Q3"/>
    <x v="1"/>
    <s v="Completed"/>
    <s v="Yes"/>
  </r>
  <r>
    <x v="467"/>
    <d v="2024-08-30T00:00:00"/>
    <s v="C36492"/>
    <x v="6"/>
    <n v="1"/>
    <n v="45.94"/>
    <s v="572 Main St"/>
    <x v="4"/>
    <x v="1"/>
    <s v="TRK44350440"/>
    <n v="2"/>
    <s v="WINTER15"/>
    <x v="2"/>
    <n v="45.94"/>
    <n v="45.94"/>
    <x v="1"/>
    <s v="Q3"/>
    <x v="2"/>
    <s v="Pending"/>
    <s v="Yes"/>
  </r>
  <r>
    <x v="468"/>
    <d v="2025-06-21T00:00:00"/>
    <s v="C90110"/>
    <x v="1"/>
    <n v="1"/>
    <n v="418.36"/>
    <s v="998 Main St"/>
    <x v="2"/>
    <x v="3"/>
    <s v="TRK60203957"/>
    <n v="5"/>
    <s v="FREESHIP"/>
    <x v="2"/>
    <n v="418.36"/>
    <n v="418.36"/>
    <x v="5"/>
    <s v="Q2"/>
    <x v="1"/>
    <s v="Completed"/>
    <s v="Yes"/>
  </r>
  <r>
    <x v="469"/>
    <d v="2023-11-26T00:00:00"/>
    <s v="C13877"/>
    <x v="3"/>
    <n v="5"/>
    <n v="676.98"/>
    <s v="893 Main St"/>
    <x v="4"/>
    <x v="1"/>
    <s v="TRK17254691"/>
    <n v="5"/>
    <m/>
    <x v="3"/>
    <n v="3384.9"/>
    <n v="3384.9"/>
    <x v="7"/>
    <s v="Q4"/>
    <x v="0"/>
    <s v="Pending"/>
    <s v="No"/>
  </r>
  <r>
    <x v="470"/>
    <d v="2023-09-29T00:00:00"/>
    <s v="C25149"/>
    <x v="2"/>
    <n v="4"/>
    <n v="263.62"/>
    <s v="672 Main St"/>
    <x v="4"/>
    <x v="0"/>
    <s v="TRK33538608"/>
    <n v="5"/>
    <s v="SAVE10"/>
    <x v="2"/>
    <n v="1054.48"/>
    <n v="1054.48"/>
    <x v="11"/>
    <s v="Q3"/>
    <x v="0"/>
    <s v="Pending"/>
    <s v="Yes"/>
  </r>
  <r>
    <x v="471"/>
    <d v="2025-04-19T00:00:00"/>
    <s v="C52717"/>
    <x v="6"/>
    <n v="5"/>
    <n v="551.27"/>
    <s v="395 Main St"/>
    <x v="1"/>
    <x v="1"/>
    <s v="TRK27625571"/>
    <n v="7"/>
    <s v="FREESHIP"/>
    <x v="1"/>
    <n v="2756.35"/>
    <n v="2756.35"/>
    <x v="6"/>
    <s v="Q2"/>
    <x v="0"/>
    <s v="Pending"/>
    <s v="Yes"/>
  </r>
  <r>
    <x v="472"/>
    <d v="2023-01-06T00:00:00"/>
    <s v="C60029"/>
    <x v="3"/>
    <n v="3"/>
    <n v="508.12"/>
    <s v="796 Main St"/>
    <x v="2"/>
    <x v="1"/>
    <s v="TRK86461316"/>
    <n v="8"/>
    <s v="FREESHIP"/>
    <x v="1"/>
    <n v="1524.36"/>
    <n v="1524.3600000000001"/>
    <x v="0"/>
    <s v="Q1"/>
    <x v="0"/>
    <s v="Pending"/>
    <s v="Yes"/>
  </r>
  <r>
    <x v="473"/>
    <d v="2025-02-25T00:00:00"/>
    <s v="C28552"/>
    <x v="3"/>
    <n v="2"/>
    <n v="14.93"/>
    <s v="449 Main St"/>
    <x v="1"/>
    <x v="0"/>
    <s v="TRK71597160"/>
    <n v="4"/>
    <m/>
    <x v="3"/>
    <n v="29.86"/>
    <n v="29.86"/>
    <x v="2"/>
    <s v="Q1"/>
    <x v="2"/>
    <s v="Pending"/>
    <s v="No"/>
  </r>
  <r>
    <x v="474"/>
    <d v="2023-11-15T00:00:00"/>
    <s v="C72293"/>
    <x v="4"/>
    <n v="3"/>
    <n v="229.34"/>
    <s v="398 Main St"/>
    <x v="2"/>
    <x v="0"/>
    <s v="TRK84378003"/>
    <n v="6"/>
    <s v="SAVE10"/>
    <x v="1"/>
    <n v="688.02"/>
    <n v="688.02"/>
    <x v="7"/>
    <s v="Q4"/>
    <x v="0"/>
    <s v="Pending"/>
    <s v="Yes"/>
  </r>
  <r>
    <x v="475"/>
    <d v="2025-04-19T00:00:00"/>
    <s v="C29844"/>
    <x v="2"/>
    <n v="2"/>
    <n v="438.62"/>
    <s v="363 Main St"/>
    <x v="4"/>
    <x v="1"/>
    <s v="TRK91642337"/>
    <n v="3"/>
    <s v="SAVE10"/>
    <x v="3"/>
    <n v="877.24"/>
    <n v="877.24"/>
    <x v="6"/>
    <s v="Q2"/>
    <x v="0"/>
    <s v="Pending"/>
    <s v="Yes"/>
  </r>
  <r>
    <x v="476"/>
    <d v="2024-01-15T00:00:00"/>
    <s v="C77872"/>
    <x v="1"/>
    <n v="2"/>
    <n v="513.59"/>
    <s v="867 Main St"/>
    <x v="1"/>
    <x v="2"/>
    <s v="TRK19292184"/>
    <n v="4"/>
    <s v="FREESHIP"/>
    <x v="1"/>
    <n v="1027.18"/>
    <n v="1027.18"/>
    <x v="0"/>
    <s v="Q1"/>
    <x v="0"/>
    <s v="Pending"/>
    <s v="Yes"/>
  </r>
  <r>
    <x v="477"/>
    <d v="2025-03-05T00:00:00"/>
    <s v="C56564"/>
    <x v="1"/>
    <n v="2"/>
    <n v="253.74"/>
    <s v="481 Main St"/>
    <x v="1"/>
    <x v="0"/>
    <s v="TRK13166044"/>
    <n v="5"/>
    <s v="SAVE10"/>
    <x v="4"/>
    <n v="507.48"/>
    <n v="507.48"/>
    <x v="9"/>
    <s v="Q1"/>
    <x v="0"/>
    <s v="Pending"/>
    <s v="Yes"/>
  </r>
  <r>
    <x v="478"/>
    <d v="2024-11-01T00:00:00"/>
    <s v="C16758"/>
    <x v="2"/>
    <n v="3"/>
    <n v="62.77"/>
    <s v="914 Main St"/>
    <x v="3"/>
    <x v="0"/>
    <s v="TRK88544431"/>
    <n v="6"/>
    <s v="FREESHIP"/>
    <x v="1"/>
    <n v="188.31"/>
    <n v="188.31"/>
    <x v="7"/>
    <s v="Q4"/>
    <x v="1"/>
    <s v="Pending"/>
    <s v="Yes"/>
  </r>
  <r>
    <x v="479"/>
    <d v="2023-02-18T00:00:00"/>
    <s v="C87011"/>
    <x v="0"/>
    <n v="4"/>
    <n v="25.29"/>
    <s v="943 Main St"/>
    <x v="2"/>
    <x v="4"/>
    <s v="TRK21429162"/>
    <n v="8"/>
    <m/>
    <x v="4"/>
    <n v="101.16"/>
    <n v="101.16"/>
    <x v="2"/>
    <s v="Q1"/>
    <x v="1"/>
    <s v="Pending"/>
    <s v="No"/>
  </r>
  <r>
    <x v="480"/>
    <d v="2023-06-16T00:00:00"/>
    <s v="C21147"/>
    <x v="3"/>
    <n v="1"/>
    <n v="335.1"/>
    <s v="126 Main St"/>
    <x v="0"/>
    <x v="4"/>
    <s v="TRK93171043"/>
    <n v="6"/>
    <s v="FREESHIP"/>
    <x v="1"/>
    <n v="335.1"/>
    <n v="335.1"/>
    <x v="5"/>
    <s v="Q2"/>
    <x v="1"/>
    <s v="Pending"/>
    <s v="Yes"/>
  </r>
  <r>
    <x v="481"/>
    <d v="2023-04-23T00:00:00"/>
    <s v="C94568"/>
    <x v="5"/>
    <n v="4"/>
    <n v="484.85"/>
    <s v="317 Main St"/>
    <x v="0"/>
    <x v="3"/>
    <s v="TRK58653915"/>
    <n v="5"/>
    <s v="WINTER15"/>
    <x v="1"/>
    <n v="1939.4"/>
    <n v="1939.4"/>
    <x v="6"/>
    <s v="Q2"/>
    <x v="0"/>
    <s v="Completed"/>
    <s v="Yes"/>
  </r>
  <r>
    <x v="482"/>
    <d v="2025-03-02T00:00:00"/>
    <s v="C35852"/>
    <x v="0"/>
    <n v="3"/>
    <n v="381.41"/>
    <s v="989 Main St"/>
    <x v="1"/>
    <x v="4"/>
    <s v="TRK22302049"/>
    <n v="6"/>
    <m/>
    <x v="0"/>
    <n v="1144.23"/>
    <n v="1144.23"/>
    <x v="9"/>
    <s v="Q1"/>
    <x v="0"/>
    <s v="Pending"/>
    <s v="No"/>
  </r>
  <r>
    <x v="483"/>
    <d v="2023-01-18T00:00:00"/>
    <s v="C66462"/>
    <x v="1"/>
    <n v="5"/>
    <n v="347.92"/>
    <s v="982 Main St"/>
    <x v="4"/>
    <x v="4"/>
    <s v="TRK52743700"/>
    <n v="6"/>
    <s v="WINTER15"/>
    <x v="4"/>
    <n v="1739.6"/>
    <n v="1739.6000000000001"/>
    <x v="0"/>
    <s v="Q1"/>
    <x v="0"/>
    <s v="Pending"/>
    <s v="Yes"/>
  </r>
  <r>
    <x v="484"/>
    <d v="2024-05-29T00:00:00"/>
    <s v="C29092"/>
    <x v="3"/>
    <n v="4"/>
    <n v="15.01"/>
    <s v="767 Main St"/>
    <x v="4"/>
    <x v="1"/>
    <s v="TRK90455340"/>
    <n v="6"/>
    <m/>
    <x v="3"/>
    <n v="60.04"/>
    <n v="60.04"/>
    <x v="4"/>
    <s v="Q2"/>
    <x v="2"/>
    <s v="Pending"/>
    <s v="No"/>
  </r>
  <r>
    <x v="485"/>
    <d v="2023-08-01T00:00:00"/>
    <s v="C46651"/>
    <x v="3"/>
    <n v="3"/>
    <n v="404.79"/>
    <s v="764 Main St"/>
    <x v="4"/>
    <x v="0"/>
    <s v="TRK67679195"/>
    <n v="6"/>
    <s v="SAVE10"/>
    <x v="0"/>
    <n v="1214.3699999999999"/>
    <n v="1214.3700000000001"/>
    <x v="1"/>
    <s v="Q3"/>
    <x v="0"/>
    <s v="Pending"/>
    <s v="Yes"/>
  </r>
  <r>
    <x v="486"/>
    <d v="2023-02-03T00:00:00"/>
    <s v="C88981"/>
    <x v="4"/>
    <n v="4"/>
    <n v="611.26"/>
    <s v="558 Main St"/>
    <x v="4"/>
    <x v="0"/>
    <s v="TRK75267873"/>
    <n v="5"/>
    <s v="SAVE10"/>
    <x v="1"/>
    <n v="2445.04"/>
    <n v="2445.04"/>
    <x v="2"/>
    <s v="Q1"/>
    <x v="0"/>
    <s v="Pending"/>
    <s v="Yes"/>
  </r>
  <r>
    <x v="487"/>
    <d v="2023-03-09T00:00:00"/>
    <s v="C40136"/>
    <x v="4"/>
    <n v="3"/>
    <n v="346.52"/>
    <s v="211 Main St"/>
    <x v="2"/>
    <x v="4"/>
    <s v="TRK92924852"/>
    <n v="3"/>
    <s v="SAVE10"/>
    <x v="4"/>
    <n v="1039.56"/>
    <n v="1039.56"/>
    <x v="9"/>
    <s v="Q1"/>
    <x v="0"/>
    <s v="Pending"/>
    <s v="Yes"/>
  </r>
  <r>
    <x v="488"/>
    <d v="2024-12-05T00:00:00"/>
    <s v="C81573"/>
    <x v="3"/>
    <n v="1"/>
    <n v="36.65"/>
    <s v="556 Main St"/>
    <x v="1"/>
    <x v="1"/>
    <s v="TRK96522994"/>
    <n v="1"/>
    <s v="WINTER15"/>
    <x v="2"/>
    <n v="36.65"/>
    <n v="36.65"/>
    <x v="8"/>
    <s v="Q4"/>
    <x v="2"/>
    <s v="Pending"/>
    <s v="Yes"/>
  </r>
  <r>
    <x v="489"/>
    <d v="2023-09-05T00:00:00"/>
    <s v="C11940"/>
    <x v="2"/>
    <n v="3"/>
    <n v="149.34"/>
    <s v="589 Main St"/>
    <x v="3"/>
    <x v="1"/>
    <s v="TRK85466461"/>
    <n v="7"/>
    <s v="WINTER15"/>
    <x v="2"/>
    <n v="448.02"/>
    <n v="448.02"/>
    <x v="11"/>
    <s v="Q3"/>
    <x v="1"/>
    <s v="Pending"/>
    <s v="Yes"/>
  </r>
  <r>
    <x v="490"/>
    <d v="2024-07-22T00:00:00"/>
    <s v="C50097"/>
    <x v="3"/>
    <n v="5"/>
    <n v="467.81"/>
    <s v="539 Main St"/>
    <x v="1"/>
    <x v="1"/>
    <s v="TRK62785150"/>
    <n v="10"/>
    <m/>
    <x v="3"/>
    <n v="2339.0500000000002"/>
    <n v="2339.0500000000002"/>
    <x v="10"/>
    <s v="Q3"/>
    <x v="0"/>
    <s v="Pending"/>
    <s v="No"/>
  </r>
  <r>
    <x v="491"/>
    <d v="2023-01-05T00:00:00"/>
    <s v="C98168"/>
    <x v="1"/>
    <n v="5"/>
    <n v="420.7"/>
    <s v="481 Main St"/>
    <x v="4"/>
    <x v="4"/>
    <s v="TRK56423359"/>
    <n v="5"/>
    <s v="WINTER15"/>
    <x v="3"/>
    <n v="2103.5"/>
    <n v="2103.5"/>
    <x v="0"/>
    <s v="Q1"/>
    <x v="0"/>
    <s v="Pending"/>
    <s v="Yes"/>
  </r>
  <r>
    <x v="492"/>
    <d v="2023-10-25T00:00:00"/>
    <s v="C39074"/>
    <x v="5"/>
    <n v="5"/>
    <n v="606.52"/>
    <s v="103 Main St"/>
    <x v="0"/>
    <x v="0"/>
    <s v="TRK13027036"/>
    <n v="6"/>
    <s v="SAVE10"/>
    <x v="0"/>
    <n v="3032.6"/>
    <n v="3032.6"/>
    <x v="3"/>
    <s v="Q4"/>
    <x v="0"/>
    <s v="Pending"/>
    <s v="Yes"/>
  </r>
  <r>
    <x v="493"/>
    <d v="2025-01-28T00:00:00"/>
    <s v="C84908"/>
    <x v="1"/>
    <n v="1"/>
    <n v="420.26"/>
    <s v="372 Main St"/>
    <x v="2"/>
    <x v="4"/>
    <s v="TRK64135970"/>
    <n v="4"/>
    <s v="FREESHIP"/>
    <x v="3"/>
    <n v="420.26"/>
    <n v="420.26"/>
    <x v="0"/>
    <s v="Q1"/>
    <x v="1"/>
    <s v="Pending"/>
    <s v="Yes"/>
  </r>
  <r>
    <x v="494"/>
    <d v="2023-07-19T00:00:00"/>
    <s v="C64516"/>
    <x v="5"/>
    <n v="3"/>
    <n v="505.79"/>
    <s v="459 Main St"/>
    <x v="0"/>
    <x v="4"/>
    <s v="TRK63920573"/>
    <n v="3"/>
    <s v="FREESHIP"/>
    <x v="1"/>
    <n v="1517.37"/>
    <n v="1517.3700000000001"/>
    <x v="10"/>
    <s v="Q3"/>
    <x v="0"/>
    <s v="Pending"/>
    <s v="Yes"/>
  </r>
  <r>
    <x v="495"/>
    <d v="2025-06-05T00:00:00"/>
    <s v="C63827"/>
    <x v="1"/>
    <n v="4"/>
    <n v="493.73"/>
    <s v="947 Main St"/>
    <x v="0"/>
    <x v="4"/>
    <s v="TRK35730581"/>
    <n v="6"/>
    <s v="SAVE10"/>
    <x v="3"/>
    <n v="1974.92"/>
    <n v="1974.92"/>
    <x v="5"/>
    <s v="Q2"/>
    <x v="0"/>
    <s v="Pending"/>
    <s v="Yes"/>
  </r>
  <r>
    <x v="496"/>
    <d v="2025-03-14T00:00:00"/>
    <s v="C93618"/>
    <x v="4"/>
    <n v="3"/>
    <n v="201.21"/>
    <s v="249 Main St"/>
    <x v="1"/>
    <x v="1"/>
    <s v="TRK66129326"/>
    <n v="3"/>
    <s v="SAVE10"/>
    <x v="4"/>
    <n v="603.63"/>
    <n v="603.63"/>
    <x v="9"/>
    <s v="Q1"/>
    <x v="0"/>
    <s v="Pending"/>
    <s v="Yes"/>
  </r>
  <r>
    <x v="497"/>
    <d v="2024-10-24T00:00:00"/>
    <s v="C93948"/>
    <x v="4"/>
    <n v="3"/>
    <n v="112.29"/>
    <s v="454 Main St"/>
    <x v="3"/>
    <x v="0"/>
    <s v="TRK77358113"/>
    <n v="6"/>
    <m/>
    <x v="4"/>
    <n v="336.87"/>
    <n v="336.87"/>
    <x v="3"/>
    <s v="Q4"/>
    <x v="1"/>
    <s v="Pending"/>
    <s v="No"/>
  </r>
  <r>
    <x v="498"/>
    <d v="2023-07-12T00:00:00"/>
    <s v="C73961"/>
    <x v="2"/>
    <n v="4"/>
    <n v="132.56"/>
    <s v="306 Main St"/>
    <x v="4"/>
    <x v="2"/>
    <s v="TRK32607173"/>
    <n v="8"/>
    <s v="WINTER15"/>
    <x v="0"/>
    <n v="530.24"/>
    <n v="530.24"/>
    <x v="10"/>
    <s v="Q3"/>
    <x v="0"/>
    <s v="Pending"/>
    <s v="Yes"/>
  </r>
  <r>
    <x v="499"/>
    <d v="2023-04-06T00:00:00"/>
    <s v="C18138"/>
    <x v="4"/>
    <n v="3"/>
    <n v="539.46"/>
    <s v="520 Main St"/>
    <x v="2"/>
    <x v="0"/>
    <s v="TRK20289483"/>
    <n v="4"/>
    <s v="SAVE10"/>
    <x v="3"/>
    <n v="1618.38"/>
    <n v="1618.38"/>
    <x v="6"/>
    <s v="Q2"/>
    <x v="0"/>
    <s v="Pending"/>
    <s v="Yes"/>
  </r>
  <r>
    <x v="500"/>
    <d v="2024-04-07T00:00:00"/>
    <s v="C79475"/>
    <x v="5"/>
    <n v="5"/>
    <n v="508.59"/>
    <s v="169 Main St"/>
    <x v="4"/>
    <x v="2"/>
    <s v="TRK42168516"/>
    <n v="8"/>
    <s v="WINTER15"/>
    <x v="3"/>
    <n v="2542.9499999999998"/>
    <n v="2542.9499999999998"/>
    <x v="6"/>
    <s v="Q2"/>
    <x v="0"/>
    <s v="Pending"/>
    <s v="Yes"/>
  </r>
  <r>
    <x v="501"/>
    <d v="2024-02-04T00:00:00"/>
    <s v="C88546"/>
    <x v="6"/>
    <n v="4"/>
    <n v="203.46"/>
    <s v="226 Main St"/>
    <x v="2"/>
    <x v="4"/>
    <s v="TRK19867754"/>
    <n v="7"/>
    <s v="SAVE10"/>
    <x v="1"/>
    <n v="813.84"/>
    <n v="813.84"/>
    <x v="2"/>
    <s v="Q1"/>
    <x v="0"/>
    <s v="Pending"/>
    <s v="Yes"/>
  </r>
  <r>
    <x v="502"/>
    <d v="2023-05-20T00:00:00"/>
    <s v="C69332"/>
    <x v="0"/>
    <n v="3"/>
    <n v="565.25"/>
    <s v="745 Main St"/>
    <x v="0"/>
    <x v="2"/>
    <s v="TRK65718848"/>
    <n v="7"/>
    <s v="SAVE10"/>
    <x v="2"/>
    <n v="1695.75"/>
    <n v="1695.75"/>
    <x v="4"/>
    <s v="Q2"/>
    <x v="0"/>
    <s v="Pending"/>
    <s v="Yes"/>
  </r>
  <r>
    <x v="503"/>
    <d v="2023-08-31T00:00:00"/>
    <s v="C64554"/>
    <x v="2"/>
    <n v="3"/>
    <n v="136.84"/>
    <s v="498 Main St"/>
    <x v="1"/>
    <x v="4"/>
    <s v="TRK95384568"/>
    <n v="4"/>
    <s v="FREESHIP"/>
    <x v="3"/>
    <n v="410.52"/>
    <n v="410.52"/>
    <x v="1"/>
    <s v="Q3"/>
    <x v="1"/>
    <s v="Pending"/>
    <s v="Yes"/>
  </r>
  <r>
    <x v="504"/>
    <d v="2025-06-11T00:00:00"/>
    <s v="C11676"/>
    <x v="0"/>
    <n v="2"/>
    <n v="464.5"/>
    <s v="805 Main St"/>
    <x v="1"/>
    <x v="1"/>
    <s v="TRK35726395"/>
    <n v="2"/>
    <s v="WINTER15"/>
    <x v="0"/>
    <n v="929"/>
    <n v="929"/>
    <x v="5"/>
    <s v="Q2"/>
    <x v="0"/>
    <s v="Pending"/>
    <s v="Yes"/>
  </r>
  <r>
    <x v="505"/>
    <d v="2023-06-11T00:00:00"/>
    <s v="C36014"/>
    <x v="4"/>
    <n v="2"/>
    <n v="434.97"/>
    <s v="558 Main St"/>
    <x v="1"/>
    <x v="0"/>
    <s v="TRK97246526"/>
    <n v="7"/>
    <m/>
    <x v="2"/>
    <n v="869.94"/>
    <n v="869.94"/>
    <x v="5"/>
    <s v="Q2"/>
    <x v="0"/>
    <s v="Pending"/>
    <s v="No"/>
  </r>
  <r>
    <x v="506"/>
    <d v="2023-07-25T00:00:00"/>
    <s v="C23279"/>
    <x v="0"/>
    <n v="2"/>
    <n v="43.67"/>
    <s v="696 Main St"/>
    <x v="4"/>
    <x v="2"/>
    <s v="TRK58039693"/>
    <n v="4"/>
    <s v="WINTER15"/>
    <x v="0"/>
    <n v="87.34"/>
    <n v="87.34"/>
    <x v="10"/>
    <s v="Q3"/>
    <x v="2"/>
    <s v="Pending"/>
    <s v="Yes"/>
  </r>
  <r>
    <x v="507"/>
    <d v="2023-07-05T00:00:00"/>
    <s v="C86481"/>
    <x v="1"/>
    <n v="1"/>
    <n v="171.59"/>
    <s v="546 Main St"/>
    <x v="2"/>
    <x v="4"/>
    <s v="TRK87513944"/>
    <n v="5"/>
    <s v="WINTER15"/>
    <x v="2"/>
    <n v="171.59"/>
    <n v="171.59"/>
    <x v="10"/>
    <s v="Q3"/>
    <x v="1"/>
    <s v="Pending"/>
    <s v="Yes"/>
  </r>
  <r>
    <x v="508"/>
    <d v="2025-05-14T00:00:00"/>
    <s v="C39550"/>
    <x v="1"/>
    <n v="1"/>
    <n v="558.27"/>
    <s v="976 Main St"/>
    <x v="1"/>
    <x v="3"/>
    <s v="TRK24120267"/>
    <n v="1"/>
    <m/>
    <x v="1"/>
    <n v="558.27"/>
    <n v="558.27"/>
    <x v="4"/>
    <s v="Q2"/>
    <x v="0"/>
    <s v="Completed"/>
    <s v="No"/>
  </r>
  <r>
    <x v="509"/>
    <d v="2023-02-15T00:00:00"/>
    <s v="C68937"/>
    <x v="5"/>
    <n v="2"/>
    <n v="425.03"/>
    <s v="560 Main St"/>
    <x v="4"/>
    <x v="2"/>
    <s v="TRK31908657"/>
    <n v="2"/>
    <s v="WINTER15"/>
    <x v="4"/>
    <n v="850.06"/>
    <n v="850.06"/>
    <x v="2"/>
    <s v="Q1"/>
    <x v="0"/>
    <s v="Pending"/>
    <s v="Yes"/>
  </r>
  <r>
    <x v="510"/>
    <d v="2024-12-16T00:00:00"/>
    <s v="C72533"/>
    <x v="4"/>
    <n v="1"/>
    <n v="376.76"/>
    <s v="389 Main St"/>
    <x v="0"/>
    <x v="3"/>
    <s v="TRK51288986"/>
    <n v="5"/>
    <s v="SAVE10"/>
    <x v="2"/>
    <n v="376.76"/>
    <n v="376.76"/>
    <x v="8"/>
    <s v="Q4"/>
    <x v="1"/>
    <s v="Completed"/>
    <s v="Yes"/>
  </r>
  <r>
    <x v="511"/>
    <d v="2024-03-15T00:00:00"/>
    <s v="C11415"/>
    <x v="0"/>
    <n v="5"/>
    <n v="575.24"/>
    <s v="267 Main St"/>
    <x v="4"/>
    <x v="3"/>
    <s v="TRK65061457"/>
    <n v="7"/>
    <s v="WINTER15"/>
    <x v="2"/>
    <n v="2876.2"/>
    <n v="2876.2"/>
    <x v="9"/>
    <s v="Q1"/>
    <x v="0"/>
    <s v="Completed"/>
    <s v="Yes"/>
  </r>
  <r>
    <x v="512"/>
    <d v="2024-09-27T00:00:00"/>
    <s v="C14114"/>
    <x v="6"/>
    <n v="3"/>
    <n v="568.02"/>
    <s v="856 Main St"/>
    <x v="1"/>
    <x v="4"/>
    <s v="TRK63290700"/>
    <n v="3"/>
    <s v="FREESHIP"/>
    <x v="0"/>
    <n v="1704.06"/>
    <n v="1704.06"/>
    <x v="11"/>
    <s v="Q3"/>
    <x v="0"/>
    <s v="Pending"/>
    <s v="Yes"/>
  </r>
  <r>
    <x v="513"/>
    <d v="2025-02-09T00:00:00"/>
    <s v="C64128"/>
    <x v="2"/>
    <n v="3"/>
    <n v="94.88"/>
    <s v="533 Main St"/>
    <x v="3"/>
    <x v="0"/>
    <s v="TRK37053575"/>
    <n v="8"/>
    <m/>
    <x v="1"/>
    <n v="284.64"/>
    <n v="284.64"/>
    <x v="2"/>
    <s v="Q1"/>
    <x v="1"/>
    <s v="Pending"/>
    <s v="No"/>
  </r>
  <r>
    <x v="514"/>
    <d v="2023-04-16T00:00:00"/>
    <s v="C15629"/>
    <x v="4"/>
    <n v="3"/>
    <n v="304.14999999999998"/>
    <s v="492 Main St"/>
    <x v="3"/>
    <x v="0"/>
    <s v="TRK64926044"/>
    <n v="3"/>
    <s v="WINTER15"/>
    <x v="0"/>
    <n v="912.44999999999993"/>
    <n v="912.44999999999993"/>
    <x v="6"/>
    <s v="Q2"/>
    <x v="0"/>
    <s v="Pending"/>
    <s v="Yes"/>
  </r>
  <r>
    <x v="515"/>
    <d v="2023-03-14T00:00:00"/>
    <s v="C67561"/>
    <x v="1"/>
    <n v="3"/>
    <n v="553.52"/>
    <s v="160 Main St"/>
    <x v="3"/>
    <x v="0"/>
    <s v="TRK75900717"/>
    <n v="4"/>
    <s v="FREESHIP"/>
    <x v="3"/>
    <n v="1660.56"/>
    <n v="1660.56"/>
    <x v="9"/>
    <s v="Q1"/>
    <x v="0"/>
    <s v="Pending"/>
    <s v="Yes"/>
  </r>
  <r>
    <x v="516"/>
    <d v="2024-04-07T00:00:00"/>
    <s v="C47022"/>
    <x v="0"/>
    <n v="3"/>
    <n v="166.99"/>
    <s v="208 Main St"/>
    <x v="4"/>
    <x v="2"/>
    <s v="TRK28855040"/>
    <n v="8"/>
    <m/>
    <x v="3"/>
    <n v="500.97"/>
    <n v="500.97"/>
    <x v="6"/>
    <s v="Q2"/>
    <x v="0"/>
    <s v="Pending"/>
    <s v="No"/>
  </r>
  <r>
    <x v="517"/>
    <d v="2024-04-09T00:00:00"/>
    <s v="C55205"/>
    <x v="2"/>
    <n v="4"/>
    <n v="198.35"/>
    <s v="943 Main St"/>
    <x v="4"/>
    <x v="1"/>
    <s v="TRK88141634"/>
    <n v="7"/>
    <s v="FREESHIP"/>
    <x v="4"/>
    <n v="793.4"/>
    <n v="793.4"/>
    <x v="6"/>
    <s v="Q2"/>
    <x v="0"/>
    <s v="Pending"/>
    <s v="Yes"/>
  </r>
  <r>
    <x v="518"/>
    <d v="2025-06-13T00:00:00"/>
    <s v="C30686"/>
    <x v="4"/>
    <n v="4"/>
    <n v="403.58"/>
    <s v="319 Main St"/>
    <x v="1"/>
    <x v="4"/>
    <s v="TRK59807273"/>
    <n v="9"/>
    <s v="SAVE10"/>
    <x v="1"/>
    <n v="1614.32"/>
    <n v="1614.32"/>
    <x v="5"/>
    <s v="Q2"/>
    <x v="0"/>
    <s v="Pending"/>
    <s v="Yes"/>
  </r>
  <r>
    <x v="519"/>
    <d v="2025-05-10T00:00:00"/>
    <s v="C71797"/>
    <x v="5"/>
    <n v="4"/>
    <n v="464.29"/>
    <s v="941 Main St"/>
    <x v="0"/>
    <x v="2"/>
    <s v="TRK66010667"/>
    <n v="5"/>
    <s v="SAVE10"/>
    <x v="2"/>
    <n v="1857.16"/>
    <n v="1857.16"/>
    <x v="4"/>
    <s v="Q2"/>
    <x v="0"/>
    <s v="Pending"/>
    <s v="Yes"/>
  </r>
  <r>
    <x v="520"/>
    <d v="2023-03-10T00:00:00"/>
    <s v="C66332"/>
    <x v="0"/>
    <n v="3"/>
    <n v="635.98"/>
    <s v="959 Main St"/>
    <x v="4"/>
    <x v="2"/>
    <s v="TRK27063398"/>
    <n v="5"/>
    <m/>
    <x v="1"/>
    <n v="1907.94"/>
    <n v="1907.94"/>
    <x v="9"/>
    <s v="Q1"/>
    <x v="0"/>
    <s v="Pending"/>
    <s v="No"/>
  </r>
  <r>
    <x v="521"/>
    <d v="2024-02-25T00:00:00"/>
    <s v="C82318"/>
    <x v="1"/>
    <n v="1"/>
    <n v="528.05999999999995"/>
    <s v="991 Main St"/>
    <x v="2"/>
    <x v="0"/>
    <s v="TRK37534165"/>
    <n v="2"/>
    <m/>
    <x v="3"/>
    <n v="528.05999999999995"/>
    <n v="528.05999999999995"/>
    <x v="2"/>
    <s v="Q1"/>
    <x v="0"/>
    <s v="Pending"/>
    <s v="No"/>
  </r>
  <r>
    <x v="522"/>
    <d v="2024-04-20T00:00:00"/>
    <s v="C66254"/>
    <x v="3"/>
    <n v="1"/>
    <n v="515.32000000000005"/>
    <s v="740 Main St"/>
    <x v="3"/>
    <x v="1"/>
    <s v="TRK82843861"/>
    <n v="1"/>
    <s v="FREESHIP"/>
    <x v="2"/>
    <n v="515.32000000000005"/>
    <n v="515.32000000000005"/>
    <x v="6"/>
    <s v="Q2"/>
    <x v="0"/>
    <s v="Pending"/>
    <s v="Yes"/>
  </r>
  <r>
    <x v="523"/>
    <d v="2025-02-18T00:00:00"/>
    <s v="C65083"/>
    <x v="6"/>
    <n v="4"/>
    <n v="657.79"/>
    <s v="652 Main St"/>
    <x v="2"/>
    <x v="2"/>
    <s v="TRK60937148"/>
    <n v="6"/>
    <s v="WINTER15"/>
    <x v="4"/>
    <n v="2631.16"/>
    <n v="2631.16"/>
    <x v="2"/>
    <s v="Q1"/>
    <x v="0"/>
    <s v="Pending"/>
    <s v="Yes"/>
  </r>
  <r>
    <x v="524"/>
    <d v="2023-10-25T00:00:00"/>
    <s v="C44778"/>
    <x v="1"/>
    <n v="1"/>
    <n v="153"/>
    <s v="103 Main St"/>
    <x v="2"/>
    <x v="2"/>
    <s v="TRK92617366"/>
    <n v="4"/>
    <m/>
    <x v="1"/>
    <n v="153"/>
    <n v="153"/>
    <x v="3"/>
    <s v="Q4"/>
    <x v="1"/>
    <s v="Pending"/>
    <s v="No"/>
  </r>
  <r>
    <x v="525"/>
    <d v="2023-12-03T00:00:00"/>
    <s v="C54499"/>
    <x v="0"/>
    <n v="1"/>
    <n v="668.48"/>
    <s v="160 Main St"/>
    <x v="0"/>
    <x v="0"/>
    <s v="TRK18061555"/>
    <n v="1"/>
    <s v="SAVE10"/>
    <x v="2"/>
    <n v="668.48"/>
    <n v="668.48"/>
    <x v="8"/>
    <s v="Q4"/>
    <x v="0"/>
    <s v="Pending"/>
    <s v="Yes"/>
  </r>
  <r>
    <x v="526"/>
    <d v="2024-02-29T00:00:00"/>
    <s v="C91201"/>
    <x v="6"/>
    <n v="2"/>
    <n v="46.5"/>
    <s v="837 Main St"/>
    <x v="4"/>
    <x v="2"/>
    <s v="TRK63526023"/>
    <n v="7"/>
    <s v="WINTER15"/>
    <x v="4"/>
    <n v="93"/>
    <n v="93"/>
    <x v="2"/>
    <s v="Q1"/>
    <x v="2"/>
    <s v="Pending"/>
    <s v="Yes"/>
  </r>
  <r>
    <x v="527"/>
    <d v="2024-08-19T00:00:00"/>
    <s v="C27202"/>
    <x v="3"/>
    <n v="5"/>
    <n v="653.47"/>
    <s v="967 Main St"/>
    <x v="2"/>
    <x v="1"/>
    <s v="TRK75406128"/>
    <n v="10"/>
    <s v="SAVE10"/>
    <x v="1"/>
    <n v="3267.35"/>
    <n v="3267.3500000000004"/>
    <x v="1"/>
    <s v="Q3"/>
    <x v="0"/>
    <s v="Pending"/>
    <s v="Yes"/>
  </r>
  <r>
    <x v="528"/>
    <d v="2025-02-26T00:00:00"/>
    <s v="C32011"/>
    <x v="3"/>
    <n v="1"/>
    <n v="628.89"/>
    <s v="686 Main St"/>
    <x v="2"/>
    <x v="2"/>
    <s v="TRK70997744"/>
    <n v="2"/>
    <s v="SAVE10"/>
    <x v="1"/>
    <n v="628.89"/>
    <n v="628.89"/>
    <x v="2"/>
    <s v="Q1"/>
    <x v="0"/>
    <s v="Pending"/>
    <s v="Yes"/>
  </r>
  <r>
    <x v="529"/>
    <d v="2024-04-07T00:00:00"/>
    <s v="C21181"/>
    <x v="2"/>
    <n v="2"/>
    <n v="675.1"/>
    <s v="938 Main St"/>
    <x v="4"/>
    <x v="4"/>
    <s v="TRK50363421"/>
    <n v="4"/>
    <s v="FREESHIP"/>
    <x v="4"/>
    <n v="1350.2"/>
    <n v="1350.2"/>
    <x v="6"/>
    <s v="Q2"/>
    <x v="0"/>
    <s v="Pending"/>
    <s v="Yes"/>
  </r>
  <r>
    <x v="530"/>
    <d v="2024-07-18T00:00:00"/>
    <s v="C98450"/>
    <x v="3"/>
    <n v="4"/>
    <n v="89.41"/>
    <s v="613 Main St"/>
    <x v="1"/>
    <x v="4"/>
    <s v="TRK14809530"/>
    <n v="9"/>
    <m/>
    <x v="4"/>
    <n v="357.64"/>
    <n v="357.64"/>
    <x v="10"/>
    <s v="Q3"/>
    <x v="1"/>
    <s v="Pending"/>
    <s v="No"/>
  </r>
  <r>
    <x v="531"/>
    <d v="2024-07-02T00:00:00"/>
    <s v="C64502"/>
    <x v="6"/>
    <n v="5"/>
    <n v="320.01"/>
    <s v="722 Main St"/>
    <x v="3"/>
    <x v="3"/>
    <s v="TRK14914388"/>
    <n v="6"/>
    <m/>
    <x v="1"/>
    <n v="1600.05"/>
    <n v="1600.05"/>
    <x v="10"/>
    <s v="Q3"/>
    <x v="0"/>
    <s v="Completed"/>
    <s v="No"/>
  </r>
  <r>
    <x v="532"/>
    <d v="2025-05-03T00:00:00"/>
    <s v="C47365"/>
    <x v="5"/>
    <n v="2"/>
    <n v="41"/>
    <s v="369 Main St"/>
    <x v="1"/>
    <x v="3"/>
    <s v="TRK42207882"/>
    <n v="7"/>
    <m/>
    <x v="2"/>
    <n v="82"/>
    <n v="82"/>
    <x v="4"/>
    <s v="Q2"/>
    <x v="2"/>
    <s v="Completed"/>
    <s v="No"/>
  </r>
  <r>
    <x v="533"/>
    <d v="2023-03-05T00:00:00"/>
    <s v="C66349"/>
    <x v="6"/>
    <n v="1"/>
    <n v="565.85"/>
    <s v="715 Main St"/>
    <x v="3"/>
    <x v="2"/>
    <s v="TRK63550793"/>
    <n v="1"/>
    <s v="FREESHIP"/>
    <x v="3"/>
    <n v="565.85"/>
    <n v="565.85"/>
    <x v="9"/>
    <s v="Q1"/>
    <x v="0"/>
    <s v="Pending"/>
    <s v="Yes"/>
  </r>
  <r>
    <x v="534"/>
    <d v="2024-06-06T00:00:00"/>
    <s v="C73289"/>
    <x v="3"/>
    <n v="3"/>
    <n v="648.59"/>
    <s v="906 Main St"/>
    <x v="0"/>
    <x v="1"/>
    <s v="TRK70872738"/>
    <n v="4"/>
    <s v="SAVE10"/>
    <x v="2"/>
    <n v="1945.77"/>
    <n v="1945.77"/>
    <x v="5"/>
    <s v="Q2"/>
    <x v="0"/>
    <s v="Pending"/>
    <s v="Yes"/>
  </r>
  <r>
    <x v="535"/>
    <d v="2024-07-24T00:00:00"/>
    <s v="C48649"/>
    <x v="0"/>
    <n v="3"/>
    <n v="68.12"/>
    <s v="332 Main St"/>
    <x v="1"/>
    <x v="1"/>
    <s v="TRK45821445"/>
    <n v="3"/>
    <s v="FREESHIP"/>
    <x v="2"/>
    <n v="204.36"/>
    <n v="204.36"/>
    <x v="10"/>
    <s v="Q3"/>
    <x v="1"/>
    <s v="Pending"/>
    <s v="Yes"/>
  </r>
  <r>
    <x v="536"/>
    <d v="2024-06-09T00:00:00"/>
    <s v="C18724"/>
    <x v="3"/>
    <n v="1"/>
    <n v="616.1"/>
    <s v="124 Main St"/>
    <x v="4"/>
    <x v="2"/>
    <s v="TRK52508861"/>
    <n v="6"/>
    <m/>
    <x v="2"/>
    <n v="616.1"/>
    <n v="616.1"/>
    <x v="5"/>
    <s v="Q2"/>
    <x v="0"/>
    <s v="Pending"/>
    <s v="No"/>
  </r>
  <r>
    <x v="537"/>
    <d v="2025-03-23T00:00:00"/>
    <s v="C68553"/>
    <x v="2"/>
    <n v="3"/>
    <n v="247.47"/>
    <s v="385 Main St"/>
    <x v="1"/>
    <x v="3"/>
    <s v="TRK58218971"/>
    <n v="4"/>
    <s v="SAVE10"/>
    <x v="3"/>
    <n v="742.41"/>
    <n v="742.41"/>
    <x v="9"/>
    <s v="Q1"/>
    <x v="0"/>
    <s v="Completed"/>
    <s v="Yes"/>
  </r>
  <r>
    <x v="538"/>
    <d v="2024-05-24T00:00:00"/>
    <s v="C61280"/>
    <x v="1"/>
    <n v="3"/>
    <n v="490.74"/>
    <s v="100 Main St"/>
    <x v="4"/>
    <x v="0"/>
    <s v="TRK95487711"/>
    <n v="3"/>
    <s v="WINTER15"/>
    <x v="2"/>
    <n v="1472.22"/>
    <n v="1472.22"/>
    <x v="4"/>
    <s v="Q2"/>
    <x v="0"/>
    <s v="Pending"/>
    <s v="Yes"/>
  </r>
  <r>
    <x v="539"/>
    <d v="2025-02-18T00:00:00"/>
    <s v="C53277"/>
    <x v="6"/>
    <n v="3"/>
    <n v="531.72"/>
    <s v="473 Main St"/>
    <x v="3"/>
    <x v="3"/>
    <s v="TRK17653832"/>
    <n v="7"/>
    <s v="SAVE10"/>
    <x v="4"/>
    <n v="1595.16"/>
    <n v="1595.16"/>
    <x v="2"/>
    <s v="Q1"/>
    <x v="0"/>
    <s v="Completed"/>
    <s v="Yes"/>
  </r>
  <r>
    <x v="540"/>
    <d v="2024-01-29T00:00:00"/>
    <s v="C87281"/>
    <x v="5"/>
    <n v="5"/>
    <n v="648.65"/>
    <s v="852 Main St"/>
    <x v="1"/>
    <x v="4"/>
    <s v="TRK81765057"/>
    <n v="7"/>
    <m/>
    <x v="1"/>
    <n v="3243.25"/>
    <n v="3243.25"/>
    <x v="0"/>
    <s v="Q1"/>
    <x v="0"/>
    <s v="Pending"/>
    <s v="No"/>
  </r>
  <r>
    <x v="541"/>
    <d v="2023-08-07T00:00:00"/>
    <s v="C69009"/>
    <x v="4"/>
    <n v="5"/>
    <n v="456.06"/>
    <s v="879 Main St"/>
    <x v="4"/>
    <x v="4"/>
    <s v="TRK61295842"/>
    <n v="10"/>
    <m/>
    <x v="0"/>
    <n v="2280.3000000000002"/>
    <n v="2280.3000000000002"/>
    <x v="1"/>
    <s v="Q3"/>
    <x v="0"/>
    <s v="Pending"/>
    <s v="No"/>
  </r>
  <r>
    <x v="542"/>
    <d v="2023-11-14T00:00:00"/>
    <s v="C49726"/>
    <x v="2"/>
    <n v="1"/>
    <n v="17.98"/>
    <s v="934 Main St"/>
    <x v="4"/>
    <x v="1"/>
    <s v="TRK20739460"/>
    <n v="6"/>
    <s v="FREESHIP"/>
    <x v="2"/>
    <n v="17.98"/>
    <n v="17.98"/>
    <x v="7"/>
    <s v="Q4"/>
    <x v="2"/>
    <s v="Pending"/>
    <s v="Yes"/>
  </r>
  <r>
    <x v="543"/>
    <d v="2024-03-09T00:00:00"/>
    <s v="C37531"/>
    <x v="6"/>
    <n v="5"/>
    <n v="269.86"/>
    <s v="354 Main St"/>
    <x v="4"/>
    <x v="0"/>
    <s v="TRK93877673"/>
    <n v="6"/>
    <s v="WINTER15"/>
    <x v="3"/>
    <n v="1349.3"/>
    <n v="1349.3000000000002"/>
    <x v="9"/>
    <s v="Q1"/>
    <x v="0"/>
    <s v="Pending"/>
    <s v="Yes"/>
  </r>
  <r>
    <x v="544"/>
    <d v="2024-03-10T00:00:00"/>
    <s v="C48713"/>
    <x v="4"/>
    <n v="5"/>
    <n v="31.96"/>
    <s v="373 Main St"/>
    <x v="2"/>
    <x v="2"/>
    <s v="TRK96334419"/>
    <n v="5"/>
    <s v="FREESHIP"/>
    <x v="1"/>
    <n v="159.80000000000001"/>
    <n v="159.80000000000001"/>
    <x v="9"/>
    <s v="Q1"/>
    <x v="1"/>
    <s v="Pending"/>
    <s v="Yes"/>
  </r>
  <r>
    <x v="545"/>
    <d v="2023-12-19T00:00:00"/>
    <s v="C74138"/>
    <x v="0"/>
    <n v="2"/>
    <n v="98.47"/>
    <s v="964 Main St"/>
    <x v="4"/>
    <x v="2"/>
    <s v="TRK74091695"/>
    <n v="3"/>
    <m/>
    <x v="0"/>
    <n v="196.94"/>
    <n v="196.94"/>
    <x v="8"/>
    <s v="Q4"/>
    <x v="1"/>
    <s v="Pending"/>
    <s v="No"/>
  </r>
  <r>
    <x v="546"/>
    <d v="2024-03-01T00:00:00"/>
    <s v="C82399"/>
    <x v="0"/>
    <n v="1"/>
    <n v="158.68"/>
    <s v="928 Main St"/>
    <x v="2"/>
    <x v="2"/>
    <s v="TRK77177284"/>
    <n v="6"/>
    <s v="WINTER15"/>
    <x v="0"/>
    <n v="158.68"/>
    <n v="158.68"/>
    <x v="9"/>
    <s v="Q1"/>
    <x v="1"/>
    <s v="Pending"/>
    <s v="Yes"/>
  </r>
  <r>
    <x v="547"/>
    <d v="2023-08-20T00:00:00"/>
    <s v="C40427"/>
    <x v="1"/>
    <n v="1"/>
    <n v="613.98"/>
    <s v="411 Main St"/>
    <x v="1"/>
    <x v="3"/>
    <s v="TRK25392280"/>
    <n v="4"/>
    <s v="FREESHIP"/>
    <x v="3"/>
    <n v="613.98"/>
    <n v="613.98"/>
    <x v="1"/>
    <s v="Q3"/>
    <x v="0"/>
    <s v="Completed"/>
    <s v="Yes"/>
  </r>
  <r>
    <x v="548"/>
    <d v="2024-01-05T00:00:00"/>
    <s v="C17103"/>
    <x v="4"/>
    <n v="3"/>
    <n v="426.12"/>
    <s v="922 Main St"/>
    <x v="1"/>
    <x v="3"/>
    <s v="TRK64398650"/>
    <n v="5"/>
    <s v="WINTER15"/>
    <x v="0"/>
    <n v="1278.3599999999999"/>
    <n v="1278.3600000000001"/>
    <x v="0"/>
    <s v="Q1"/>
    <x v="0"/>
    <s v="Completed"/>
    <s v="Yes"/>
  </r>
  <r>
    <x v="549"/>
    <d v="2025-02-25T00:00:00"/>
    <s v="C34266"/>
    <x v="0"/>
    <n v="4"/>
    <n v="629.88"/>
    <s v="550 Main St"/>
    <x v="0"/>
    <x v="1"/>
    <s v="TRK56378197"/>
    <n v="8"/>
    <s v="WINTER15"/>
    <x v="0"/>
    <n v="2519.52"/>
    <n v="2519.52"/>
    <x v="2"/>
    <s v="Q1"/>
    <x v="0"/>
    <s v="Pending"/>
    <s v="Yes"/>
  </r>
  <r>
    <x v="550"/>
    <d v="2023-10-29T00:00:00"/>
    <s v="C97485"/>
    <x v="5"/>
    <n v="4"/>
    <n v="228.91"/>
    <s v="573 Main St"/>
    <x v="4"/>
    <x v="0"/>
    <s v="TRK81794737"/>
    <n v="4"/>
    <s v="FREESHIP"/>
    <x v="4"/>
    <n v="915.64"/>
    <n v="915.64"/>
    <x v="3"/>
    <s v="Q4"/>
    <x v="0"/>
    <s v="Pending"/>
    <s v="Yes"/>
  </r>
  <r>
    <x v="551"/>
    <d v="2023-05-18T00:00:00"/>
    <s v="C23947"/>
    <x v="5"/>
    <n v="1"/>
    <n v="120.98"/>
    <s v="353 Main St"/>
    <x v="0"/>
    <x v="3"/>
    <s v="TRK74812710"/>
    <n v="6"/>
    <s v="WINTER15"/>
    <x v="2"/>
    <n v="120.98"/>
    <n v="120.98"/>
    <x v="4"/>
    <s v="Q2"/>
    <x v="1"/>
    <s v="Completed"/>
    <s v="Yes"/>
  </r>
  <r>
    <x v="552"/>
    <d v="2023-09-30T00:00:00"/>
    <s v="C21665"/>
    <x v="3"/>
    <n v="4"/>
    <n v="425.18"/>
    <s v="560 Main St"/>
    <x v="1"/>
    <x v="2"/>
    <s v="TRK29890761"/>
    <n v="8"/>
    <s v="WINTER15"/>
    <x v="3"/>
    <n v="1700.72"/>
    <n v="1700.72"/>
    <x v="11"/>
    <s v="Q3"/>
    <x v="0"/>
    <s v="Pending"/>
    <s v="Yes"/>
  </r>
  <r>
    <x v="553"/>
    <d v="2023-08-23T00:00:00"/>
    <s v="C82550"/>
    <x v="1"/>
    <n v="2"/>
    <n v="333.83"/>
    <s v="828 Main St"/>
    <x v="3"/>
    <x v="1"/>
    <s v="TRK74103758"/>
    <n v="4"/>
    <s v="FREESHIP"/>
    <x v="1"/>
    <n v="667.66"/>
    <n v="667.66"/>
    <x v="1"/>
    <s v="Q3"/>
    <x v="0"/>
    <s v="Pending"/>
    <s v="Yes"/>
  </r>
  <r>
    <x v="554"/>
    <d v="2025-05-30T00:00:00"/>
    <s v="C61943"/>
    <x v="5"/>
    <n v="2"/>
    <n v="492.9"/>
    <s v="610 Main St"/>
    <x v="4"/>
    <x v="2"/>
    <s v="TRK66126496"/>
    <n v="5"/>
    <s v="FREESHIP"/>
    <x v="0"/>
    <n v="985.8"/>
    <n v="985.8"/>
    <x v="4"/>
    <s v="Q2"/>
    <x v="0"/>
    <s v="Pending"/>
    <s v="Yes"/>
  </r>
  <r>
    <x v="555"/>
    <d v="2023-01-07T00:00:00"/>
    <s v="C88933"/>
    <x v="2"/>
    <n v="1"/>
    <n v="92.04"/>
    <s v="333 Main St"/>
    <x v="4"/>
    <x v="0"/>
    <s v="TRK89306964"/>
    <n v="2"/>
    <m/>
    <x v="3"/>
    <n v="92.04"/>
    <n v="92.04"/>
    <x v="0"/>
    <s v="Q1"/>
    <x v="2"/>
    <s v="Pending"/>
    <s v="No"/>
  </r>
  <r>
    <x v="556"/>
    <d v="2023-01-28T00:00:00"/>
    <s v="C30923"/>
    <x v="5"/>
    <n v="1"/>
    <n v="654.27"/>
    <s v="932 Main St"/>
    <x v="3"/>
    <x v="4"/>
    <s v="TRK82609328"/>
    <n v="2"/>
    <s v="SAVE10"/>
    <x v="3"/>
    <n v="654.27"/>
    <n v="654.27"/>
    <x v="0"/>
    <s v="Q1"/>
    <x v="0"/>
    <s v="Pending"/>
    <s v="Yes"/>
  </r>
  <r>
    <x v="557"/>
    <d v="2023-06-29T00:00:00"/>
    <s v="C56969"/>
    <x v="2"/>
    <n v="1"/>
    <n v="56.2"/>
    <s v="130 Main St"/>
    <x v="0"/>
    <x v="4"/>
    <s v="TRK40719215"/>
    <n v="1"/>
    <s v="WINTER15"/>
    <x v="3"/>
    <n v="56.2"/>
    <n v="56.2"/>
    <x v="5"/>
    <s v="Q2"/>
    <x v="2"/>
    <s v="Pending"/>
    <s v="Yes"/>
  </r>
  <r>
    <x v="558"/>
    <d v="2024-07-16T00:00:00"/>
    <s v="C76766"/>
    <x v="1"/>
    <n v="4"/>
    <n v="628.12"/>
    <s v="485 Main St"/>
    <x v="1"/>
    <x v="3"/>
    <s v="TRK32052962"/>
    <n v="6"/>
    <s v="WINTER15"/>
    <x v="0"/>
    <n v="2512.48"/>
    <n v="2512.48"/>
    <x v="10"/>
    <s v="Q3"/>
    <x v="0"/>
    <s v="Completed"/>
    <s v="Yes"/>
  </r>
  <r>
    <x v="559"/>
    <d v="2024-04-15T00:00:00"/>
    <s v="C22981"/>
    <x v="6"/>
    <n v="3"/>
    <n v="157.4"/>
    <s v="454 Main St"/>
    <x v="0"/>
    <x v="1"/>
    <s v="TRK10115285"/>
    <n v="7"/>
    <s v="WINTER15"/>
    <x v="2"/>
    <n v="472.2"/>
    <n v="472.20000000000005"/>
    <x v="6"/>
    <s v="Q2"/>
    <x v="1"/>
    <s v="Pending"/>
    <s v="Yes"/>
  </r>
  <r>
    <x v="560"/>
    <d v="2023-01-31T00:00:00"/>
    <s v="C33634"/>
    <x v="0"/>
    <n v="4"/>
    <n v="588.85"/>
    <s v="524 Main St"/>
    <x v="3"/>
    <x v="4"/>
    <s v="TRK93168008"/>
    <n v="7"/>
    <m/>
    <x v="2"/>
    <n v="2355.4"/>
    <n v="2355.4"/>
    <x v="0"/>
    <s v="Q1"/>
    <x v="0"/>
    <s v="Pending"/>
    <s v="No"/>
  </r>
  <r>
    <x v="561"/>
    <d v="2023-01-31T00:00:00"/>
    <s v="C96822"/>
    <x v="4"/>
    <n v="2"/>
    <n v="494.78"/>
    <s v="198 Main St"/>
    <x v="1"/>
    <x v="0"/>
    <s v="TRK89180077"/>
    <n v="2"/>
    <m/>
    <x v="4"/>
    <n v="989.56"/>
    <n v="989.56"/>
    <x v="0"/>
    <s v="Q1"/>
    <x v="0"/>
    <s v="Pending"/>
    <s v="No"/>
  </r>
  <r>
    <x v="562"/>
    <d v="2023-10-06T00:00:00"/>
    <s v="C76675"/>
    <x v="5"/>
    <n v="3"/>
    <n v="663.93"/>
    <s v="922 Main St"/>
    <x v="3"/>
    <x v="2"/>
    <s v="TRK28043915"/>
    <n v="6"/>
    <s v="FREESHIP"/>
    <x v="2"/>
    <n v="1991.79"/>
    <n v="1991.79"/>
    <x v="3"/>
    <s v="Q4"/>
    <x v="0"/>
    <s v="Pending"/>
    <s v="Yes"/>
  </r>
  <r>
    <x v="563"/>
    <d v="2023-12-12T00:00:00"/>
    <s v="C12039"/>
    <x v="5"/>
    <n v="1"/>
    <n v="132.68"/>
    <s v="844 Main St"/>
    <x v="0"/>
    <x v="2"/>
    <s v="TRK68645763"/>
    <n v="1"/>
    <s v="SAVE10"/>
    <x v="1"/>
    <n v="132.68"/>
    <n v="132.68"/>
    <x v="8"/>
    <s v="Q4"/>
    <x v="1"/>
    <s v="Pending"/>
    <s v="Yes"/>
  </r>
  <r>
    <x v="564"/>
    <d v="2025-04-08T00:00:00"/>
    <s v="C93309"/>
    <x v="6"/>
    <n v="5"/>
    <n v="364.28"/>
    <s v="734 Main St"/>
    <x v="2"/>
    <x v="1"/>
    <s v="TRK99446987"/>
    <n v="5"/>
    <s v="WINTER15"/>
    <x v="4"/>
    <n v="1821.4"/>
    <n v="1821.3999999999999"/>
    <x v="6"/>
    <s v="Q2"/>
    <x v="0"/>
    <s v="Pending"/>
    <s v="Yes"/>
  </r>
  <r>
    <x v="565"/>
    <d v="2023-05-14T00:00:00"/>
    <s v="C62042"/>
    <x v="2"/>
    <n v="5"/>
    <n v="307.98"/>
    <s v="214 Main St"/>
    <x v="1"/>
    <x v="4"/>
    <s v="TRK42605492"/>
    <n v="10"/>
    <m/>
    <x v="3"/>
    <n v="1539.9"/>
    <n v="1539.9"/>
    <x v="4"/>
    <s v="Q2"/>
    <x v="0"/>
    <s v="Pending"/>
    <s v="No"/>
  </r>
  <r>
    <x v="566"/>
    <d v="2024-04-18T00:00:00"/>
    <s v="C83223"/>
    <x v="1"/>
    <n v="4"/>
    <n v="162.71"/>
    <s v="167 Main St"/>
    <x v="4"/>
    <x v="1"/>
    <s v="TRK54339083"/>
    <n v="7"/>
    <s v="FREESHIP"/>
    <x v="2"/>
    <n v="650.84"/>
    <n v="650.84"/>
    <x v="6"/>
    <s v="Q2"/>
    <x v="0"/>
    <s v="Pending"/>
    <s v="Yes"/>
  </r>
  <r>
    <x v="567"/>
    <d v="2024-09-30T00:00:00"/>
    <s v="C92575"/>
    <x v="3"/>
    <n v="5"/>
    <n v="492.94"/>
    <s v="153 Main St"/>
    <x v="4"/>
    <x v="0"/>
    <s v="TRK53579227"/>
    <n v="10"/>
    <s v="FREESHIP"/>
    <x v="2"/>
    <n v="2464.6999999999998"/>
    <n v="2464.6999999999998"/>
    <x v="11"/>
    <s v="Q3"/>
    <x v="0"/>
    <s v="Pending"/>
    <s v="Yes"/>
  </r>
  <r>
    <x v="568"/>
    <d v="2023-03-10T00:00:00"/>
    <s v="C29072"/>
    <x v="5"/>
    <n v="2"/>
    <n v="343.99"/>
    <s v="312 Main St"/>
    <x v="1"/>
    <x v="3"/>
    <s v="TRK72334047"/>
    <n v="4"/>
    <m/>
    <x v="4"/>
    <n v="687.98"/>
    <n v="687.98"/>
    <x v="9"/>
    <s v="Q1"/>
    <x v="0"/>
    <s v="Completed"/>
    <s v="No"/>
  </r>
  <r>
    <x v="569"/>
    <d v="2025-03-22T00:00:00"/>
    <s v="C25783"/>
    <x v="6"/>
    <n v="5"/>
    <n v="250.68"/>
    <s v="672 Main St"/>
    <x v="4"/>
    <x v="0"/>
    <s v="TRK13289741"/>
    <n v="8"/>
    <s v="SAVE10"/>
    <x v="0"/>
    <n v="1253.4000000000001"/>
    <n v="1253.4000000000001"/>
    <x v="9"/>
    <s v="Q1"/>
    <x v="0"/>
    <s v="Pending"/>
    <s v="Yes"/>
  </r>
  <r>
    <x v="570"/>
    <d v="2024-12-27T00:00:00"/>
    <s v="C63727"/>
    <x v="6"/>
    <n v="2"/>
    <n v="362.14"/>
    <s v="122 Main St"/>
    <x v="0"/>
    <x v="4"/>
    <s v="TRK13611021"/>
    <n v="2"/>
    <s v="SAVE10"/>
    <x v="0"/>
    <n v="724.28"/>
    <n v="724.28"/>
    <x v="8"/>
    <s v="Q4"/>
    <x v="0"/>
    <s v="Pending"/>
    <s v="Yes"/>
  </r>
  <r>
    <x v="571"/>
    <d v="2024-11-23T00:00:00"/>
    <s v="C42365"/>
    <x v="2"/>
    <n v="1"/>
    <n v="214.08"/>
    <s v="867 Main St"/>
    <x v="3"/>
    <x v="2"/>
    <s v="TRK39563288"/>
    <n v="2"/>
    <s v="WINTER15"/>
    <x v="4"/>
    <n v="214.08"/>
    <n v="214.08"/>
    <x v="7"/>
    <s v="Q4"/>
    <x v="1"/>
    <s v="Pending"/>
    <s v="Yes"/>
  </r>
  <r>
    <x v="572"/>
    <d v="2023-11-11T00:00:00"/>
    <s v="C27438"/>
    <x v="4"/>
    <n v="1"/>
    <n v="70.319999999999993"/>
    <s v="341 Main St"/>
    <x v="4"/>
    <x v="2"/>
    <s v="TRK69125497"/>
    <n v="4"/>
    <s v="WINTER15"/>
    <x v="3"/>
    <n v="70.319999999999993"/>
    <n v="70.319999999999993"/>
    <x v="7"/>
    <s v="Q4"/>
    <x v="2"/>
    <s v="Pending"/>
    <s v="Yes"/>
  </r>
  <r>
    <x v="573"/>
    <d v="2023-01-25T00:00:00"/>
    <s v="C13205"/>
    <x v="3"/>
    <n v="5"/>
    <n v="421.42"/>
    <s v="522 Main St"/>
    <x v="0"/>
    <x v="1"/>
    <s v="TRK30686578"/>
    <n v="7"/>
    <m/>
    <x v="0"/>
    <n v="2107.1"/>
    <n v="2107.1"/>
    <x v="0"/>
    <s v="Q1"/>
    <x v="0"/>
    <s v="Pending"/>
    <s v="No"/>
  </r>
  <r>
    <x v="574"/>
    <d v="2024-01-24T00:00:00"/>
    <s v="C29685"/>
    <x v="3"/>
    <n v="5"/>
    <n v="384.69"/>
    <s v="275 Main St"/>
    <x v="2"/>
    <x v="4"/>
    <s v="TRK97733212"/>
    <n v="6"/>
    <s v="FREESHIP"/>
    <x v="2"/>
    <n v="1923.45"/>
    <n v="1923.45"/>
    <x v="0"/>
    <s v="Q1"/>
    <x v="0"/>
    <s v="Pending"/>
    <s v="Yes"/>
  </r>
  <r>
    <x v="575"/>
    <d v="2023-06-07T00:00:00"/>
    <s v="C74005"/>
    <x v="3"/>
    <n v="5"/>
    <n v="448.15"/>
    <s v="528 Main St"/>
    <x v="3"/>
    <x v="2"/>
    <s v="TRK61640534"/>
    <n v="7"/>
    <s v="SAVE10"/>
    <x v="4"/>
    <n v="2240.75"/>
    <n v="2240.75"/>
    <x v="5"/>
    <s v="Q2"/>
    <x v="0"/>
    <s v="Pending"/>
    <s v="Yes"/>
  </r>
  <r>
    <x v="576"/>
    <d v="2024-05-29T00:00:00"/>
    <s v="C14457"/>
    <x v="5"/>
    <n v="5"/>
    <n v="79.08"/>
    <s v="747 Main St"/>
    <x v="4"/>
    <x v="4"/>
    <s v="TRK42517811"/>
    <n v="8"/>
    <m/>
    <x v="3"/>
    <n v="395.4"/>
    <n v="395.4"/>
    <x v="4"/>
    <s v="Q2"/>
    <x v="1"/>
    <s v="Pending"/>
    <s v="No"/>
  </r>
  <r>
    <x v="577"/>
    <d v="2023-01-22T00:00:00"/>
    <s v="C77046"/>
    <x v="2"/>
    <n v="4"/>
    <n v="185.41"/>
    <s v="967 Main St"/>
    <x v="1"/>
    <x v="2"/>
    <s v="TRK44401497"/>
    <n v="9"/>
    <s v="WINTER15"/>
    <x v="4"/>
    <n v="741.64"/>
    <n v="741.64"/>
    <x v="0"/>
    <s v="Q1"/>
    <x v="0"/>
    <s v="Pending"/>
    <s v="Yes"/>
  </r>
  <r>
    <x v="578"/>
    <d v="2024-10-10T00:00:00"/>
    <s v="C50415"/>
    <x v="0"/>
    <n v="5"/>
    <n v="566.07000000000005"/>
    <s v="587 Main St"/>
    <x v="2"/>
    <x v="3"/>
    <s v="TRK41345634"/>
    <n v="6"/>
    <s v="SAVE10"/>
    <x v="0"/>
    <n v="2830.35"/>
    <n v="2830.3500000000004"/>
    <x v="3"/>
    <s v="Q4"/>
    <x v="0"/>
    <s v="Completed"/>
    <s v="Yes"/>
  </r>
  <r>
    <x v="579"/>
    <d v="2023-06-04T00:00:00"/>
    <s v="C73999"/>
    <x v="2"/>
    <n v="2"/>
    <n v="187.88"/>
    <s v="413 Main St"/>
    <x v="1"/>
    <x v="0"/>
    <s v="TRK67919507"/>
    <n v="4"/>
    <s v="WINTER15"/>
    <x v="3"/>
    <n v="375.76"/>
    <n v="375.76"/>
    <x v="5"/>
    <s v="Q2"/>
    <x v="1"/>
    <s v="Pending"/>
    <s v="Yes"/>
  </r>
  <r>
    <x v="580"/>
    <d v="2023-11-14T00:00:00"/>
    <s v="C71076"/>
    <x v="0"/>
    <n v="2"/>
    <n v="255.99"/>
    <s v="340 Main St"/>
    <x v="2"/>
    <x v="3"/>
    <s v="TRK65148292"/>
    <n v="4"/>
    <s v="SAVE10"/>
    <x v="0"/>
    <n v="511.98"/>
    <n v="511.98"/>
    <x v="7"/>
    <s v="Q4"/>
    <x v="0"/>
    <s v="Completed"/>
    <s v="Yes"/>
  </r>
  <r>
    <x v="581"/>
    <d v="2024-11-11T00:00:00"/>
    <s v="C44674"/>
    <x v="5"/>
    <n v="1"/>
    <n v="627.34"/>
    <s v="942 Main St"/>
    <x v="1"/>
    <x v="3"/>
    <s v="TRK87158684"/>
    <n v="1"/>
    <m/>
    <x v="1"/>
    <n v="627.34"/>
    <n v="627.34"/>
    <x v="7"/>
    <s v="Q4"/>
    <x v="0"/>
    <s v="Completed"/>
    <s v="No"/>
  </r>
  <r>
    <x v="582"/>
    <d v="2024-02-19T00:00:00"/>
    <s v="C15228"/>
    <x v="2"/>
    <n v="3"/>
    <n v="474.14"/>
    <s v="558 Main St"/>
    <x v="3"/>
    <x v="0"/>
    <s v="TRK33860620"/>
    <n v="8"/>
    <s v="WINTER15"/>
    <x v="4"/>
    <n v="1422.42"/>
    <n v="1422.42"/>
    <x v="2"/>
    <s v="Q1"/>
    <x v="0"/>
    <s v="Pending"/>
    <s v="Yes"/>
  </r>
  <r>
    <x v="583"/>
    <d v="2025-06-15T00:00:00"/>
    <s v="C27072"/>
    <x v="3"/>
    <n v="3"/>
    <n v="154.37"/>
    <s v="996 Main St"/>
    <x v="3"/>
    <x v="3"/>
    <s v="TRK29750379"/>
    <n v="4"/>
    <m/>
    <x v="0"/>
    <n v="463.11"/>
    <n v="463.11"/>
    <x v="5"/>
    <s v="Q2"/>
    <x v="1"/>
    <s v="Completed"/>
    <s v="No"/>
  </r>
  <r>
    <x v="584"/>
    <d v="2025-03-21T00:00:00"/>
    <s v="C15257"/>
    <x v="3"/>
    <n v="4"/>
    <n v="145.05000000000001"/>
    <s v="626 Main St"/>
    <x v="1"/>
    <x v="3"/>
    <s v="TRK28779938"/>
    <n v="6"/>
    <s v="SAVE10"/>
    <x v="4"/>
    <n v="580.20000000000005"/>
    <n v="580.20000000000005"/>
    <x v="9"/>
    <s v="Q1"/>
    <x v="0"/>
    <s v="Completed"/>
    <s v="Yes"/>
  </r>
  <r>
    <x v="585"/>
    <d v="2023-08-20T00:00:00"/>
    <s v="C91486"/>
    <x v="2"/>
    <n v="4"/>
    <n v="67.08"/>
    <s v="907 Main St"/>
    <x v="4"/>
    <x v="2"/>
    <s v="TRK79617136"/>
    <n v="8"/>
    <s v="WINTER15"/>
    <x v="4"/>
    <n v="268.32"/>
    <n v="268.32"/>
    <x v="1"/>
    <s v="Q3"/>
    <x v="1"/>
    <s v="Pending"/>
    <s v="Yes"/>
  </r>
  <r>
    <x v="586"/>
    <d v="2024-11-10T00:00:00"/>
    <s v="C17389"/>
    <x v="0"/>
    <n v="1"/>
    <n v="522.08000000000004"/>
    <s v="905 Main St"/>
    <x v="3"/>
    <x v="2"/>
    <s v="TRK98857880"/>
    <n v="5"/>
    <s v="FREESHIP"/>
    <x v="1"/>
    <n v="522.08000000000004"/>
    <n v="522.08000000000004"/>
    <x v="7"/>
    <s v="Q4"/>
    <x v="0"/>
    <s v="Pending"/>
    <s v="Yes"/>
  </r>
  <r>
    <x v="587"/>
    <d v="2023-06-12T00:00:00"/>
    <s v="C18820"/>
    <x v="0"/>
    <n v="5"/>
    <n v="514.6"/>
    <s v="347 Main St"/>
    <x v="3"/>
    <x v="3"/>
    <s v="TRK91547425"/>
    <n v="10"/>
    <s v="FREESHIP"/>
    <x v="0"/>
    <n v="2573"/>
    <n v="2573"/>
    <x v="5"/>
    <s v="Q2"/>
    <x v="0"/>
    <s v="Completed"/>
    <s v="Yes"/>
  </r>
  <r>
    <x v="588"/>
    <d v="2024-12-10T00:00:00"/>
    <s v="C61849"/>
    <x v="0"/>
    <n v="4"/>
    <n v="577.82000000000005"/>
    <s v="811 Main St"/>
    <x v="2"/>
    <x v="3"/>
    <s v="TRK47613918"/>
    <n v="9"/>
    <m/>
    <x v="4"/>
    <n v="2311.2800000000002"/>
    <n v="2311.2800000000002"/>
    <x v="8"/>
    <s v="Q4"/>
    <x v="0"/>
    <s v="Completed"/>
    <s v="No"/>
  </r>
  <r>
    <x v="589"/>
    <d v="2025-02-10T00:00:00"/>
    <s v="C84041"/>
    <x v="5"/>
    <n v="2"/>
    <n v="500.8"/>
    <s v="900 Main St"/>
    <x v="4"/>
    <x v="3"/>
    <s v="TRK84920444"/>
    <n v="3"/>
    <s v="FREESHIP"/>
    <x v="1"/>
    <n v="1001.6"/>
    <n v="1001.6"/>
    <x v="2"/>
    <s v="Q1"/>
    <x v="0"/>
    <s v="Completed"/>
    <s v="Yes"/>
  </r>
  <r>
    <x v="590"/>
    <d v="2023-09-10T00:00:00"/>
    <s v="C55757"/>
    <x v="4"/>
    <n v="2"/>
    <n v="461.13"/>
    <s v="175 Main St"/>
    <x v="3"/>
    <x v="2"/>
    <s v="TRK27356242"/>
    <n v="4"/>
    <m/>
    <x v="2"/>
    <n v="922.26"/>
    <n v="922.26"/>
    <x v="11"/>
    <s v="Q3"/>
    <x v="0"/>
    <s v="Pending"/>
    <s v="No"/>
  </r>
  <r>
    <x v="591"/>
    <d v="2024-11-18T00:00:00"/>
    <s v="C18187"/>
    <x v="5"/>
    <n v="1"/>
    <n v="605.28"/>
    <s v="470 Main St"/>
    <x v="3"/>
    <x v="0"/>
    <s v="TRK50528185"/>
    <n v="3"/>
    <s v="FREESHIP"/>
    <x v="1"/>
    <n v="605.28"/>
    <n v="605.28"/>
    <x v="7"/>
    <s v="Q4"/>
    <x v="0"/>
    <s v="Pending"/>
    <s v="Yes"/>
  </r>
  <r>
    <x v="592"/>
    <d v="2024-04-23T00:00:00"/>
    <s v="C42306"/>
    <x v="1"/>
    <n v="3"/>
    <n v="204.27"/>
    <s v="938 Main St"/>
    <x v="1"/>
    <x v="2"/>
    <s v="TRK15499648"/>
    <n v="4"/>
    <m/>
    <x v="4"/>
    <n v="612.81000000000006"/>
    <n v="612.81000000000006"/>
    <x v="6"/>
    <s v="Q2"/>
    <x v="0"/>
    <s v="Pending"/>
    <s v="No"/>
  </r>
  <r>
    <x v="593"/>
    <d v="2023-08-02T00:00:00"/>
    <s v="C51024"/>
    <x v="0"/>
    <n v="1"/>
    <n v="489.8"/>
    <s v="636 Main St"/>
    <x v="3"/>
    <x v="0"/>
    <s v="TRK31375086"/>
    <n v="4"/>
    <s v="FREESHIP"/>
    <x v="3"/>
    <n v="489.8"/>
    <n v="489.8"/>
    <x v="1"/>
    <s v="Q3"/>
    <x v="1"/>
    <s v="Pending"/>
    <s v="Yes"/>
  </r>
  <r>
    <x v="594"/>
    <d v="2024-02-21T00:00:00"/>
    <s v="C40140"/>
    <x v="1"/>
    <n v="5"/>
    <n v="72.64"/>
    <s v="598 Main St"/>
    <x v="2"/>
    <x v="1"/>
    <s v="TRK12671989"/>
    <n v="7"/>
    <m/>
    <x v="2"/>
    <n v="363.2"/>
    <n v="363.2"/>
    <x v="2"/>
    <s v="Q1"/>
    <x v="1"/>
    <s v="Pending"/>
    <s v="No"/>
  </r>
  <r>
    <x v="595"/>
    <d v="2025-01-10T00:00:00"/>
    <s v="C72596"/>
    <x v="4"/>
    <n v="2"/>
    <n v="385.16"/>
    <s v="491 Main St"/>
    <x v="1"/>
    <x v="4"/>
    <s v="TRK83870446"/>
    <n v="7"/>
    <s v="SAVE10"/>
    <x v="2"/>
    <n v="770.32"/>
    <n v="770.32"/>
    <x v="0"/>
    <s v="Q1"/>
    <x v="0"/>
    <s v="Pending"/>
    <s v="Yes"/>
  </r>
  <r>
    <x v="596"/>
    <d v="2023-06-12T00:00:00"/>
    <s v="C91805"/>
    <x v="6"/>
    <n v="3"/>
    <n v="606.41"/>
    <s v="653 Main St"/>
    <x v="0"/>
    <x v="2"/>
    <s v="TRK34504030"/>
    <n v="7"/>
    <s v="FREESHIP"/>
    <x v="3"/>
    <n v="1819.23"/>
    <n v="1819.23"/>
    <x v="5"/>
    <s v="Q2"/>
    <x v="0"/>
    <s v="Pending"/>
    <s v="Yes"/>
  </r>
  <r>
    <x v="597"/>
    <d v="2024-11-25T00:00:00"/>
    <s v="C40538"/>
    <x v="6"/>
    <n v="2"/>
    <n v="211.82"/>
    <s v="700 Main St"/>
    <x v="3"/>
    <x v="1"/>
    <s v="TRK29821356"/>
    <n v="4"/>
    <s v="WINTER15"/>
    <x v="2"/>
    <n v="423.64"/>
    <n v="423.64"/>
    <x v="7"/>
    <s v="Q4"/>
    <x v="1"/>
    <s v="Pending"/>
    <s v="Yes"/>
  </r>
  <r>
    <x v="598"/>
    <d v="2024-04-26T00:00:00"/>
    <s v="C60329"/>
    <x v="6"/>
    <n v="5"/>
    <n v="495.35"/>
    <s v="826 Main St"/>
    <x v="2"/>
    <x v="4"/>
    <s v="TRK59069987"/>
    <n v="5"/>
    <m/>
    <x v="3"/>
    <n v="2476.75"/>
    <n v="2476.75"/>
    <x v="6"/>
    <s v="Q2"/>
    <x v="0"/>
    <s v="Pending"/>
    <s v="No"/>
  </r>
  <r>
    <x v="599"/>
    <d v="2023-06-30T00:00:00"/>
    <s v="C28740"/>
    <x v="3"/>
    <n v="3"/>
    <n v="556.99"/>
    <s v="123 Main St"/>
    <x v="1"/>
    <x v="1"/>
    <s v="TRK33642221"/>
    <n v="4"/>
    <s v="FREESHIP"/>
    <x v="3"/>
    <n v="1670.97"/>
    <n v="1670.97"/>
    <x v="5"/>
    <s v="Q2"/>
    <x v="0"/>
    <s v="Pending"/>
    <s v="Yes"/>
  </r>
  <r>
    <x v="600"/>
    <d v="2023-05-26T00:00:00"/>
    <s v="C87051"/>
    <x v="4"/>
    <n v="1"/>
    <n v="72.31"/>
    <s v="460 Main St"/>
    <x v="3"/>
    <x v="1"/>
    <s v="TRK82056333"/>
    <n v="1"/>
    <s v="FREESHIP"/>
    <x v="3"/>
    <n v="72.31"/>
    <n v="72.31"/>
    <x v="4"/>
    <s v="Q2"/>
    <x v="2"/>
    <s v="Pending"/>
    <s v="Yes"/>
  </r>
  <r>
    <x v="601"/>
    <d v="2023-10-02T00:00:00"/>
    <s v="C12479"/>
    <x v="0"/>
    <n v="5"/>
    <n v="24.82"/>
    <s v="529 Main St"/>
    <x v="2"/>
    <x v="0"/>
    <s v="TRK73935314"/>
    <n v="10"/>
    <m/>
    <x v="1"/>
    <n v="124.1"/>
    <n v="124.1"/>
    <x v="3"/>
    <s v="Q4"/>
    <x v="1"/>
    <s v="Pending"/>
    <s v="No"/>
  </r>
  <r>
    <x v="602"/>
    <d v="2024-03-05T00:00:00"/>
    <s v="C35852"/>
    <x v="2"/>
    <n v="4"/>
    <n v="26.04"/>
    <s v="982 Main St"/>
    <x v="1"/>
    <x v="4"/>
    <s v="TRK64660134"/>
    <n v="5"/>
    <s v="SAVE10"/>
    <x v="0"/>
    <n v="104.16"/>
    <n v="104.16"/>
    <x v="9"/>
    <s v="Q1"/>
    <x v="1"/>
    <s v="Pending"/>
    <s v="Yes"/>
  </r>
  <r>
    <x v="603"/>
    <d v="2024-10-04T00:00:00"/>
    <s v="C26223"/>
    <x v="2"/>
    <n v="1"/>
    <n v="657.07"/>
    <s v="800 Main St"/>
    <x v="4"/>
    <x v="4"/>
    <s v="TRK50900547"/>
    <n v="4"/>
    <s v="SAVE10"/>
    <x v="4"/>
    <n v="657.07"/>
    <n v="657.07"/>
    <x v="3"/>
    <s v="Q4"/>
    <x v="0"/>
    <s v="Pending"/>
    <s v="Yes"/>
  </r>
  <r>
    <x v="604"/>
    <d v="2025-06-22T00:00:00"/>
    <s v="C99214"/>
    <x v="3"/>
    <n v="3"/>
    <n v="32.619999999999997"/>
    <s v="252 Main St"/>
    <x v="0"/>
    <x v="3"/>
    <s v="TRK81368481"/>
    <n v="6"/>
    <m/>
    <x v="3"/>
    <n v="97.859999999999985"/>
    <n v="97.859999999999985"/>
    <x v="5"/>
    <s v="Q2"/>
    <x v="2"/>
    <s v="Completed"/>
    <s v="No"/>
  </r>
  <r>
    <x v="605"/>
    <d v="2024-05-10T00:00:00"/>
    <s v="C49605"/>
    <x v="0"/>
    <n v="2"/>
    <n v="228.91"/>
    <s v="892 Main St"/>
    <x v="0"/>
    <x v="0"/>
    <s v="TRK95620066"/>
    <n v="4"/>
    <s v="SAVE10"/>
    <x v="1"/>
    <n v="457.82"/>
    <n v="457.82"/>
    <x v="4"/>
    <s v="Q2"/>
    <x v="1"/>
    <s v="Pending"/>
    <s v="Yes"/>
  </r>
  <r>
    <x v="606"/>
    <d v="2024-11-06T00:00:00"/>
    <s v="C85018"/>
    <x v="5"/>
    <n v="3"/>
    <n v="274.75"/>
    <s v="783 Main St"/>
    <x v="4"/>
    <x v="1"/>
    <s v="TRK54128886"/>
    <n v="3"/>
    <s v="SAVE10"/>
    <x v="4"/>
    <n v="824.25"/>
    <n v="824.25"/>
    <x v="7"/>
    <s v="Q4"/>
    <x v="0"/>
    <s v="Pending"/>
    <s v="Yes"/>
  </r>
  <r>
    <x v="607"/>
    <d v="2025-05-31T00:00:00"/>
    <s v="C96434"/>
    <x v="4"/>
    <n v="4"/>
    <n v="634.04999999999995"/>
    <s v="282 Main St"/>
    <x v="4"/>
    <x v="0"/>
    <s v="TRK56730647"/>
    <n v="6"/>
    <s v="SAVE10"/>
    <x v="4"/>
    <n v="2536.1999999999998"/>
    <n v="2536.1999999999998"/>
    <x v="4"/>
    <s v="Q2"/>
    <x v="0"/>
    <s v="Pending"/>
    <s v="Yes"/>
  </r>
  <r>
    <x v="608"/>
    <d v="2024-07-24T00:00:00"/>
    <s v="C32956"/>
    <x v="5"/>
    <n v="5"/>
    <n v="543.16"/>
    <s v="788 Main St"/>
    <x v="1"/>
    <x v="1"/>
    <s v="TRK73140103"/>
    <n v="6"/>
    <s v="SAVE10"/>
    <x v="0"/>
    <n v="2715.8"/>
    <n v="2715.7999999999997"/>
    <x v="10"/>
    <s v="Q3"/>
    <x v="0"/>
    <s v="Pending"/>
    <s v="Yes"/>
  </r>
  <r>
    <x v="609"/>
    <d v="2025-01-27T00:00:00"/>
    <s v="C41137"/>
    <x v="3"/>
    <n v="3"/>
    <n v="449.13"/>
    <s v="809 Main St"/>
    <x v="4"/>
    <x v="2"/>
    <s v="TRK52732162"/>
    <n v="5"/>
    <s v="WINTER15"/>
    <x v="1"/>
    <n v="1347.39"/>
    <n v="1347.3899999999999"/>
    <x v="0"/>
    <s v="Q1"/>
    <x v="0"/>
    <s v="Pending"/>
    <s v="Yes"/>
  </r>
  <r>
    <x v="610"/>
    <d v="2024-06-16T00:00:00"/>
    <s v="C60361"/>
    <x v="6"/>
    <n v="5"/>
    <n v="389.62"/>
    <s v="623 Main St"/>
    <x v="4"/>
    <x v="2"/>
    <s v="TRK83566924"/>
    <n v="7"/>
    <s v="FREESHIP"/>
    <x v="3"/>
    <n v="1948.1"/>
    <n v="1948.1"/>
    <x v="5"/>
    <s v="Q2"/>
    <x v="0"/>
    <s v="Pending"/>
    <s v="Yes"/>
  </r>
  <r>
    <x v="611"/>
    <d v="2023-04-21T00:00:00"/>
    <s v="C36688"/>
    <x v="6"/>
    <n v="1"/>
    <n v="305.17"/>
    <s v="700 Main St"/>
    <x v="3"/>
    <x v="2"/>
    <s v="TRK35720426"/>
    <n v="3"/>
    <s v="WINTER15"/>
    <x v="1"/>
    <n v="305.17"/>
    <n v="305.17"/>
    <x v="6"/>
    <s v="Q2"/>
    <x v="1"/>
    <s v="Pending"/>
    <s v="Yes"/>
  </r>
  <r>
    <x v="612"/>
    <d v="2023-06-02T00:00:00"/>
    <s v="C51811"/>
    <x v="3"/>
    <n v="3"/>
    <n v="445.12"/>
    <s v="339 Main St"/>
    <x v="3"/>
    <x v="1"/>
    <s v="TRK82377939"/>
    <n v="8"/>
    <m/>
    <x v="4"/>
    <n v="1335.36"/>
    <n v="1335.3600000000001"/>
    <x v="5"/>
    <s v="Q2"/>
    <x v="0"/>
    <s v="Pending"/>
    <s v="No"/>
  </r>
  <r>
    <x v="613"/>
    <d v="2024-12-19T00:00:00"/>
    <s v="C62405"/>
    <x v="5"/>
    <n v="2"/>
    <n v="230.36"/>
    <s v="154 Main St"/>
    <x v="1"/>
    <x v="2"/>
    <s v="TRK14721763"/>
    <n v="4"/>
    <s v="WINTER15"/>
    <x v="2"/>
    <n v="460.72"/>
    <n v="460.72"/>
    <x v="8"/>
    <s v="Q4"/>
    <x v="1"/>
    <s v="Pending"/>
    <s v="Yes"/>
  </r>
  <r>
    <x v="614"/>
    <d v="2024-03-08T00:00:00"/>
    <s v="C77363"/>
    <x v="1"/>
    <n v="1"/>
    <n v="96.81"/>
    <s v="807 Main St"/>
    <x v="3"/>
    <x v="1"/>
    <s v="TRK12439827"/>
    <n v="3"/>
    <m/>
    <x v="1"/>
    <n v="96.81"/>
    <n v="96.81"/>
    <x v="9"/>
    <s v="Q1"/>
    <x v="2"/>
    <s v="Pending"/>
    <s v="No"/>
  </r>
  <r>
    <x v="615"/>
    <d v="2025-03-07T00:00:00"/>
    <s v="C97218"/>
    <x v="0"/>
    <n v="5"/>
    <n v="460.14"/>
    <s v="252 Main St"/>
    <x v="2"/>
    <x v="2"/>
    <s v="TRK52632065"/>
    <n v="10"/>
    <s v="WINTER15"/>
    <x v="3"/>
    <n v="2300.6999999999998"/>
    <n v="2300.6999999999998"/>
    <x v="9"/>
    <s v="Q1"/>
    <x v="0"/>
    <s v="Pending"/>
    <s v="Yes"/>
  </r>
  <r>
    <x v="616"/>
    <d v="2024-10-17T00:00:00"/>
    <s v="C43919"/>
    <x v="2"/>
    <n v="3"/>
    <n v="601.6"/>
    <s v="984 Main St"/>
    <x v="2"/>
    <x v="1"/>
    <s v="TRK73113192"/>
    <n v="7"/>
    <s v="SAVE10"/>
    <x v="3"/>
    <n v="1804.8"/>
    <n v="1804.8000000000002"/>
    <x v="3"/>
    <s v="Q4"/>
    <x v="0"/>
    <s v="Pending"/>
    <s v="Yes"/>
  </r>
  <r>
    <x v="617"/>
    <d v="2024-02-08T00:00:00"/>
    <s v="C57093"/>
    <x v="2"/>
    <n v="3"/>
    <n v="184.47"/>
    <s v="834 Main St"/>
    <x v="1"/>
    <x v="1"/>
    <s v="TRK75469057"/>
    <n v="4"/>
    <m/>
    <x v="1"/>
    <n v="553.41"/>
    <n v="553.41"/>
    <x v="2"/>
    <s v="Q1"/>
    <x v="0"/>
    <s v="Pending"/>
    <s v="No"/>
  </r>
  <r>
    <x v="618"/>
    <d v="2024-09-03T00:00:00"/>
    <s v="C50565"/>
    <x v="2"/>
    <n v="1"/>
    <n v="411.34"/>
    <s v="399 Main St"/>
    <x v="0"/>
    <x v="2"/>
    <s v="TRK97981418"/>
    <n v="5"/>
    <m/>
    <x v="0"/>
    <n v="411.34"/>
    <n v="411.34"/>
    <x v="11"/>
    <s v="Q3"/>
    <x v="1"/>
    <s v="Pending"/>
    <s v="No"/>
  </r>
  <r>
    <x v="619"/>
    <d v="2024-07-16T00:00:00"/>
    <s v="C38845"/>
    <x v="5"/>
    <n v="1"/>
    <n v="532.89"/>
    <s v="764 Main St"/>
    <x v="3"/>
    <x v="4"/>
    <s v="TRK47637374"/>
    <n v="2"/>
    <m/>
    <x v="1"/>
    <n v="532.89"/>
    <n v="532.89"/>
    <x v="10"/>
    <s v="Q3"/>
    <x v="0"/>
    <s v="Pending"/>
    <s v="No"/>
  </r>
  <r>
    <x v="620"/>
    <d v="2024-03-27T00:00:00"/>
    <s v="C84834"/>
    <x v="2"/>
    <n v="3"/>
    <n v="136.34"/>
    <s v="866 Main St"/>
    <x v="0"/>
    <x v="2"/>
    <s v="TRK90136001"/>
    <n v="8"/>
    <s v="SAVE10"/>
    <x v="1"/>
    <n v="409.02"/>
    <n v="409.02"/>
    <x v="9"/>
    <s v="Q1"/>
    <x v="1"/>
    <s v="Pending"/>
    <s v="Yes"/>
  </r>
  <r>
    <x v="621"/>
    <d v="2023-10-22T00:00:00"/>
    <s v="C37455"/>
    <x v="1"/>
    <n v="5"/>
    <n v="476.01"/>
    <s v="146 Main St"/>
    <x v="2"/>
    <x v="3"/>
    <s v="TRK82685594"/>
    <n v="7"/>
    <s v="WINTER15"/>
    <x v="4"/>
    <n v="2380.0500000000002"/>
    <n v="2380.0500000000002"/>
    <x v="3"/>
    <s v="Q4"/>
    <x v="0"/>
    <s v="Completed"/>
    <s v="Yes"/>
  </r>
  <r>
    <x v="622"/>
    <d v="2024-11-02T00:00:00"/>
    <s v="C27078"/>
    <x v="6"/>
    <n v="5"/>
    <n v="236.38"/>
    <s v="128 Main St"/>
    <x v="2"/>
    <x v="2"/>
    <s v="TRK89314307"/>
    <n v="7"/>
    <m/>
    <x v="3"/>
    <n v="1181.9000000000001"/>
    <n v="1181.9000000000001"/>
    <x v="7"/>
    <s v="Q4"/>
    <x v="0"/>
    <s v="Pending"/>
    <s v="No"/>
  </r>
  <r>
    <x v="623"/>
    <d v="2023-06-16T00:00:00"/>
    <s v="C91941"/>
    <x v="4"/>
    <n v="3"/>
    <n v="396"/>
    <s v="269 Main St"/>
    <x v="3"/>
    <x v="1"/>
    <s v="TRK21330732"/>
    <n v="4"/>
    <s v="FREESHIP"/>
    <x v="0"/>
    <n v="1188"/>
    <n v="1188"/>
    <x v="5"/>
    <s v="Q2"/>
    <x v="0"/>
    <s v="Pending"/>
    <s v="Yes"/>
  </r>
  <r>
    <x v="624"/>
    <d v="2024-01-16T00:00:00"/>
    <s v="C25967"/>
    <x v="2"/>
    <n v="5"/>
    <n v="341.96"/>
    <s v="747 Main St"/>
    <x v="0"/>
    <x v="3"/>
    <s v="TRK88559278"/>
    <n v="6"/>
    <m/>
    <x v="2"/>
    <n v="1709.8"/>
    <n v="1709.8"/>
    <x v="0"/>
    <s v="Q1"/>
    <x v="0"/>
    <s v="Completed"/>
    <s v="No"/>
  </r>
  <r>
    <x v="625"/>
    <d v="2023-09-24T00:00:00"/>
    <s v="C22123"/>
    <x v="2"/>
    <n v="1"/>
    <n v="672.89"/>
    <s v="519 Main St"/>
    <x v="2"/>
    <x v="4"/>
    <s v="TRK43250279"/>
    <n v="1"/>
    <s v="WINTER15"/>
    <x v="2"/>
    <n v="672.89"/>
    <n v="672.89"/>
    <x v="11"/>
    <s v="Q3"/>
    <x v="0"/>
    <s v="Pending"/>
    <s v="Yes"/>
  </r>
  <r>
    <x v="626"/>
    <d v="2024-03-01T00:00:00"/>
    <s v="C45671"/>
    <x v="2"/>
    <n v="2"/>
    <n v="657.48"/>
    <s v="769 Main St"/>
    <x v="1"/>
    <x v="0"/>
    <s v="TRK18179773"/>
    <n v="5"/>
    <s v="SAVE10"/>
    <x v="1"/>
    <n v="1314.96"/>
    <n v="1314.96"/>
    <x v="9"/>
    <s v="Q1"/>
    <x v="0"/>
    <s v="Pending"/>
    <s v="Yes"/>
  </r>
  <r>
    <x v="627"/>
    <d v="2023-08-06T00:00:00"/>
    <s v="C53334"/>
    <x v="3"/>
    <n v="3"/>
    <n v="498.68"/>
    <s v="879 Main St"/>
    <x v="1"/>
    <x v="2"/>
    <s v="TRK31724421"/>
    <n v="4"/>
    <s v="FREESHIP"/>
    <x v="2"/>
    <n v="1496.04"/>
    <n v="1496.04"/>
    <x v="1"/>
    <s v="Q3"/>
    <x v="0"/>
    <s v="Pending"/>
    <s v="Yes"/>
  </r>
  <r>
    <x v="628"/>
    <d v="2023-03-26T00:00:00"/>
    <s v="C18717"/>
    <x v="4"/>
    <n v="5"/>
    <n v="558.63"/>
    <s v="861 Main St"/>
    <x v="4"/>
    <x v="4"/>
    <s v="TRK58568806"/>
    <n v="8"/>
    <s v="FREESHIP"/>
    <x v="1"/>
    <n v="2793.15"/>
    <n v="2793.15"/>
    <x v="9"/>
    <s v="Q1"/>
    <x v="0"/>
    <s v="Pending"/>
    <s v="Yes"/>
  </r>
  <r>
    <x v="629"/>
    <d v="2023-07-07T00:00:00"/>
    <s v="C50137"/>
    <x v="1"/>
    <n v="3"/>
    <n v="19.73"/>
    <s v="840 Main St"/>
    <x v="1"/>
    <x v="4"/>
    <s v="TRK91836131"/>
    <n v="3"/>
    <m/>
    <x v="1"/>
    <n v="59.19"/>
    <n v="59.19"/>
    <x v="10"/>
    <s v="Q3"/>
    <x v="2"/>
    <s v="Pending"/>
    <s v="No"/>
  </r>
  <r>
    <x v="630"/>
    <d v="2023-06-23T00:00:00"/>
    <s v="C51481"/>
    <x v="0"/>
    <n v="5"/>
    <n v="248.84"/>
    <s v="140 Main St"/>
    <x v="0"/>
    <x v="1"/>
    <s v="TRK33437701"/>
    <n v="10"/>
    <m/>
    <x v="0"/>
    <n v="1244.2"/>
    <n v="1244.2"/>
    <x v="5"/>
    <s v="Q2"/>
    <x v="0"/>
    <s v="Pending"/>
    <s v="No"/>
  </r>
  <r>
    <x v="631"/>
    <d v="2024-08-31T00:00:00"/>
    <s v="C99128"/>
    <x v="3"/>
    <n v="3"/>
    <n v="46.11"/>
    <s v="360 Main St"/>
    <x v="3"/>
    <x v="2"/>
    <s v="TRK32426808"/>
    <n v="5"/>
    <s v="WINTER15"/>
    <x v="1"/>
    <n v="138.33000000000001"/>
    <n v="138.32999999999998"/>
    <x v="1"/>
    <s v="Q3"/>
    <x v="1"/>
    <s v="Pending"/>
    <s v="Yes"/>
  </r>
  <r>
    <x v="632"/>
    <d v="2023-05-02T00:00:00"/>
    <s v="C67260"/>
    <x v="5"/>
    <n v="5"/>
    <n v="678.16"/>
    <s v="463 Main St"/>
    <x v="3"/>
    <x v="3"/>
    <s v="TRK38229104"/>
    <n v="7"/>
    <s v="WINTER15"/>
    <x v="3"/>
    <n v="3390.8"/>
    <n v="3390.7999999999997"/>
    <x v="4"/>
    <s v="Q2"/>
    <x v="0"/>
    <s v="Completed"/>
    <s v="Yes"/>
  </r>
  <r>
    <x v="633"/>
    <d v="2024-04-10T00:00:00"/>
    <s v="C79533"/>
    <x v="5"/>
    <n v="5"/>
    <n v="601.72"/>
    <s v="921 Main St"/>
    <x v="3"/>
    <x v="1"/>
    <s v="TRK54711422"/>
    <n v="5"/>
    <s v="WINTER15"/>
    <x v="0"/>
    <n v="3008.6"/>
    <n v="3008.6000000000004"/>
    <x v="6"/>
    <s v="Q2"/>
    <x v="0"/>
    <s v="Pending"/>
    <s v="Yes"/>
  </r>
  <r>
    <x v="634"/>
    <d v="2024-04-25T00:00:00"/>
    <s v="C66906"/>
    <x v="4"/>
    <n v="2"/>
    <n v="259.32"/>
    <s v="117 Main St"/>
    <x v="3"/>
    <x v="3"/>
    <s v="TRK31633755"/>
    <n v="2"/>
    <s v="WINTER15"/>
    <x v="1"/>
    <n v="518.64"/>
    <n v="518.64"/>
    <x v="6"/>
    <s v="Q2"/>
    <x v="0"/>
    <s v="Completed"/>
    <s v="Yes"/>
  </r>
  <r>
    <x v="635"/>
    <d v="2023-12-13T00:00:00"/>
    <s v="C12818"/>
    <x v="3"/>
    <n v="3"/>
    <n v="63.68"/>
    <s v="434 Main St"/>
    <x v="4"/>
    <x v="2"/>
    <s v="TRK40879983"/>
    <n v="6"/>
    <m/>
    <x v="3"/>
    <n v="191.04"/>
    <n v="191.04"/>
    <x v="8"/>
    <s v="Q4"/>
    <x v="1"/>
    <s v="Pending"/>
    <s v="No"/>
  </r>
  <r>
    <x v="636"/>
    <d v="2023-10-05T00:00:00"/>
    <s v="C60384"/>
    <x v="5"/>
    <n v="4"/>
    <n v="371.07"/>
    <s v="336 Main St"/>
    <x v="4"/>
    <x v="1"/>
    <s v="TRK92080037"/>
    <n v="7"/>
    <s v="WINTER15"/>
    <x v="3"/>
    <n v="1484.28"/>
    <n v="1484.28"/>
    <x v="3"/>
    <s v="Q4"/>
    <x v="0"/>
    <s v="Pending"/>
    <s v="Yes"/>
  </r>
  <r>
    <x v="637"/>
    <d v="2024-09-29T00:00:00"/>
    <s v="C92294"/>
    <x v="3"/>
    <n v="4"/>
    <n v="306.35000000000002"/>
    <s v="784 Main St"/>
    <x v="3"/>
    <x v="0"/>
    <s v="TRK23585765"/>
    <n v="7"/>
    <s v="WINTER15"/>
    <x v="1"/>
    <n v="1225.4000000000001"/>
    <n v="1225.4000000000001"/>
    <x v="11"/>
    <s v="Q3"/>
    <x v="0"/>
    <s v="Pending"/>
    <s v="Yes"/>
  </r>
  <r>
    <x v="638"/>
    <d v="2023-10-15T00:00:00"/>
    <s v="C66840"/>
    <x v="2"/>
    <n v="4"/>
    <n v="578.27"/>
    <s v="547 Main St"/>
    <x v="1"/>
    <x v="3"/>
    <s v="TRK76929637"/>
    <n v="9"/>
    <s v="WINTER15"/>
    <x v="2"/>
    <n v="2313.08"/>
    <n v="2313.08"/>
    <x v="3"/>
    <s v="Q4"/>
    <x v="0"/>
    <s v="Completed"/>
    <s v="Yes"/>
  </r>
  <r>
    <x v="639"/>
    <d v="2023-01-20T00:00:00"/>
    <s v="C22534"/>
    <x v="3"/>
    <n v="1"/>
    <n v="529.19000000000005"/>
    <s v="391 Main St"/>
    <x v="4"/>
    <x v="1"/>
    <s v="TRK17415798"/>
    <n v="5"/>
    <m/>
    <x v="1"/>
    <n v="529.19000000000005"/>
    <n v="529.19000000000005"/>
    <x v="0"/>
    <s v="Q1"/>
    <x v="0"/>
    <s v="Pending"/>
    <s v="No"/>
  </r>
  <r>
    <x v="640"/>
    <d v="2024-02-27T00:00:00"/>
    <s v="C46509"/>
    <x v="3"/>
    <n v="2"/>
    <n v="587.49"/>
    <s v="647 Main St"/>
    <x v="3"/>
    <x v="2"/>
    <s v="TRK24241664"/>
    <n v="6"/>
    <s v="SAVE10"/>
    <x v="1"/>
    <n v="1174.98"/>
    <n v="1174.98"/>
    <x v="2"/>
    <s v="Q1"/>
    <x v="0"/>
    <s v="Pending"/>
    <s v="Yes"/>
  </r>
  <r>
    <x v="641"/>
    <d v="2024-06-30T00:00:00"/>
    <s v="C71680"/>
    <x v="4"/>
    <n v="4"/>
    <n v="567.57000000000005"/>
    <s v="814 Main St"/>
    <x v="0"/>
    <x v="4"/>
    <s v="TRK47386650"/>
    <n v="9"/>
    <s v="WINTER15"/>
    <x v="4"/>
    <n v="2270.2800000000002"/>
    <n v="2270.2800000000002"/>
    <x v="5"/>
    <s v="Q2"/>
    <x v="0"/>
    <s v="Pending"/>
    <s v="Yes"/>
  </r>
  <r>
    <x v="642"/>
    <d v="2024-04-29T00:00:00"/>
    <s v="C15063"/>
    <x v="3"/>
    <n v="5"/>
    <n v="85.22"/>
    <s v="527 Main St"/>
    <x v="2"/>
    <x v="1"/>
    <s v="TRK10329390"/>
    <n v="7"/>
    <s v="FREESHIP"/>
    <x v="2"/>
    <n v="426.1"/>
    <n v="426.1"/>
    <x v="6"/>
    <s v="Q2"/>
    <x v="1"/>
    <s v="Pending"/>
    <s v="Yes"/>
  </r>
  <r>
    <x v="643"/>
    <d v="2024-08-26T00:00:00"/>
    <s v="C77122"/>
    <x v="5"/>
    <n v="1"/>
    <n v="438.37"/>
    <s v="647 Main St"/>
    <x v="4"/>
    <x v="1"/>
    <s v="TRK75814880"/>
    <n v="4"/>
    <s v="SAVE10"/>
    <x v="1"/>
    <n v="438.37"/>
    <n v="438.37"/>
    <x v="1"/>
    <s v="Q3"/>
    <x v="1"/>
    <s v="Pending"/>
    <s v="Yes"/>
  </r>
  <r>
    <x v="644"/>
    <d v="2023-11-15T00:00:00"/>
    <s v="C86524"/>
    <x v="3"/>
    <n v="2"/>
    <n v="366.23"/>
    <s v="961 Main St"/>
    <x v="4"/>
    <x v="0"/>
    <s v="TRK62490506"/>
    <n v="2"/>
    <s v="WINTER15"/>
    <x v="2"/>
    <n v="732.46"/>
    <n v="732.46"/>
    <x v="7"/>
    <s v="Q4"/>
    <x v="0"/>
    <s v="Pending"/>
    <s v="Yes"/>
  </r>
  <r>
    <x v="645"/>
    <d v="2023-01-02T00:00:00"/>
    <s v="C82990"/>
    <x v="5"/>
    <n v="2"/>
    <n v="150.05000000000001"/>
    <s v="727 Main St"/>
    <x v="2"/>
    <x v="1"/>
    <s v="TRK68574801"/>
    <n v="4"/>
    <s v="SAVE10"/>
    <x v="3"/>
    <n v="300.10000000000002"/>
    <n v="300.10000000000002"/>
    <x v="0"/>
    <s v="Q1"/>
    <x v="1"/>
    <s v="Pending"/>
    <s v="Yes"/>
  </r>
  <r>
    <x v="646"/>
    <d v="2023-10-27T00:00:00"/>
    <s v="C98761"/>
    <x v="3"/>
    <n v="4"/>
    <n v="498.51"/>
    <s v="804 Main St"/>
    <x v="0"/>
    <x v="0"/>
    <s v="TRK43262630"/>
    <n v="4"/>
    <s v="SAVE10"/>
    <x v="4"/>
    <n v="1994.04"/>
    <n v="1994.04"/>
    <x v="3"/>
    <s v="Q4"/>
    <x v="0"/>
    <s v="Pending"/>
    <s v="Yes"/>
  </r>
  <r>
    <x v="647"/>
    <d v="2025-04-24T00:00:00"/>
    <s v="C54409"/>
    <x v="6"/>
    <n v="3"/>
    <n v="339.39"/>
    <s v="667 Main St"/>
    <x v="4"/>
    <x v="2"/>
    <s v="TRK67671316"/>
    <n v="7"/>
    <s v="FREESHIP"/>
    <x v="4"/>
    <n v="1018.17"/>
    <n v="1018.17"/>
    <x v="6"/>
    <s v="Q2"/>
    <x v="0"/>
    <s v="Pending"/>
    <s v="Yes"/>
  </r>
  <r>
    <x v="648"/>
    <d v="2025-01-18T00:00:00"/>
    <s v="C89674"/>
    <x v="0"/>
    <n v="2"/>
    <n v="575.83000000000004"/>
    <s v="182 Main St"/>
    <x v="1"/>
    <x v="3"/>
    <s v="TRK45902512"/>
    <n v="3"/>
    <s v="WINTER15"/>
    <x v="1"/>
    <n v="1151.6600000000001"/>
    <n v="1151.6600000000001"/>
    <x v="0"/>
    <s v="Q1"/>
    <x v="0"/>
    <s v="Completed"/>
    <s v="Yes"/>
  </r>
  <r>
    <x v="649"/>
    <d v="2023-12-23T00:00:00"/>
    <s v="C45899"/>
    <x v="0"/>
    <n v="2"/>
    <n v="642.98"/>
    <s v="153 Main St"/>
    <x v="0"/>
    <x v="2"/>
    <s v="TRK32932093"/>
    <n v="7"/>
    <s v="FREESHIP"/>
    <x v="2"/>
    <n v="1285.96"/>
    <n v="1285.96"/>
    <x v="8"/>
    <s v="Q4"/>
    <x v="0"/>
    <s v="Pending"/>
    <s v="Yes"/>
  </r>
  <r>
    <x v="650"/>
    <d v="2023-05-18T00:00:00"/>
    <s v="C74499"/>
    <x v="6"/>
    <n v="2"/>
    <n v="372.23"/>
    <s v="518 Main St"/>
    <x v="3"/>
    <x v="3"/>
    <s v="TRK93767278"/>
    <n v="7"/>
    <s v="SAVE10"/>
    <x v="2"/>
    <n v="744.46"/>
    <n v="744.46"/>
    <x v="4"/>
    <s v="Q2"/>
    <x v="0"/>
    <s v="Completed"/>
    <s v="Yes"/>
  </r>
  <r>
    <x v="651"/>
    <d v="2024-11-12T00:00:00"/>
    <s v="C81192"/>
    <x v="3"/>
    <n v="3"/>
    <n v="646.34"/>
    <s v="429 Main St"/>
    <x v="0"/>
    <x v="4"/>
    <s v="TRK76931118"/>
    <n v="5"/>
    <m/>
    <x v="4"/>
    <n v="1939.02"/>
    <n v="1939.02"/>
    <x v="7"/>
    <s v="Q4"/>
    <x v="0"/>
    <s v="Pending"/>
    <s v="No"/>
  </r>
  <r>
    <x v="652"/>
    <d v="2024-06-05T00:00:00"/>
    <s v="C71473"/>
    <x v="3"/>
    <n v="5"/>
    <n v="341.84"/>
    <s v="328 Main St"/>
    <x v="1"/>
    <x v="0"/>
    <s v="TRK94857335"/>
    <n v="8"/>
    <s v="FREESHIP"/>
    <x v="0"/>
    <n v="1709.2"/>
    <n v="1709.1999999999998"/>
    <x v="5"/>
    <s v="Q2"/>
    <x v="0"/>
    <s v="Pending"/>
    <s v="Yes"/>
  </r>
  <r>
    <x v="653"/>
    <d v="2024-02-25T00:00:00"/>
    <s v="C59338"/>
    <x v="4"/>
    <n v="3"/>
    <n v="690.3"/>
    <s v="747 Main St"/>
    <x v="2"/>
    <x v="0"/>
    <s v="TRK12902764"/>
    <n v="6"/>
    <s v="WINTER15"/>
    <x v="4"/>
    <n v="2070.9"/>
    <n v="2070.8999999999996"/>
    <x v="2"/>
    <s v="Q1"/>
    <x v="0"/>
    <s v="Pending"/>
    <s v="Yes"/>
  </r>
  <r>
    <x v="654"/>
    <d v="2023-06-12T00:00:00"/>
    <s v="C62661"/>
    <x v="2"/>
    <n v="3"/>
    <n v="382.37"/>
    <s v="863 Main St"/>
    <x v="0"/>
    <x v="2"/>
    <s v="TRK25748100"/>
    <n v="8"/>
    <m/>
    <x v="0"/>
    <n v="1147.1099999999999"/>
    <n v="1147.1100000000001"/>
    <x v="5"/>
    <s v="Q2"/>
    <x v="0"/>
    <s v="Pending"/>
    <s v="No"/>
  </r>
  <r>
    <x v="655"/>
    <d v="2023-03-14T00:00:00"/>
    <s v="C22101"/>
    <x v="3"/>
    <n v="2"/>
    <n v="132.6"/>
    <s v="262 Main St"/>
    <x v="0"/>
    <x v="1"/>
    <s v="TRK70711522"/>
    <n v="4"/>
    <s v="WINTER15"/>
    <x v="2"/>
    <n v="265.2"/>
    <n v="265.2"/>
    <x v="9"/>
    <s v="Q1"/>
    <x v="1"/>
    <s v="Pending"/>
    <s v="Yes"/>
  </r>
  <r>
    <x v="656"/>
    <d v="2024-01-18T00:00:00"/>
    <s v="C51404"/>
    <x v="0"/>
    <n v="2"/>
    <n v="189.06"/>
    <s v="835 Main St"/>
    <x v="3"/>
    <x v="0"/>
    <s v="TRK85682500"/>
    <n v="7"/>
    <s v="SAVE10"/>
    <x v="3"/>
    <n v="378.12"/>
    <n v="378.12"/>
    <x v="0"/>
    <s v="Q1"/>
    <x v="1"/>
    <s v="Pending"/>
    <s v="Yes"/>
  </r>
  <r>
    <x v="657"/>
    <d v="2023-12-24T00:00:00"/>
    <s v="C19384"/>
    <x v="2"/>
    <n v="4"/>
    <n v="87.79"/>
    <s v="532 Main St"/>
    <x v="4"/>
    <x v="1"/>
    <s v="TRK33207064"/>
    <n v="6"/>
    <s v="FREESHIP"/>
    <x v="0"/>
    <n v="351.16"/>
    <n v="351.16"/>
    <x v="8"/>
    <s v="Q4"/>
    <x v="1"/>
    <s v="Pending"/>
    <s v="Yes"/>
  </r>
  <r>
    <x v="658"/>
    <d v="2025-04-18T00:00:00"/>
    <s v="C86864"/>
    <x v="4"/>
    <n v="2"/>
    <n v="46.36"/>
    <s v="670 Main St"/>
    <x v="3"/>
    <x v="2"/>
    <s v="TRK15323191"/>
    <n v="4"/>
    <s v="SAVE10"/>
    <x v="4"/>
    <n v="92.72"/>
    <n v="92.72"/>
    <x v="6"/>
    <s v="Q2"/>
    <x v="2"/>
    <s v="Pending"/>
    <s v="Yes"/>
  </r>
  <r>
    <x v="659"/>
    <d v="2024-10-26T00:00:00"/>
    <s v="C24301"/>
    <x v="1"/>
    <n v="2"/>
    <n v="642.04"/>
    <s v="964 Main St"/>
    <x v="3"/>
    <x v="3"/>
    <s v="TRK55000075"/>
    <n v="4"/>
    <s v="WINTER15"/>
    <x v="2"/>
    <n v="1284.08"/>
    <n v="1284.08"/>
    <x v="3"/>
    <s v="Q4"/>
    <x v="0"/>
    <s v="Completed"/>
    <s v="Yes"/>
  </r>
  <r>
    <x v="660"/>
    <d v="2024-10-19T00:00:00"/>
    <s v="C43842"/>
    <x v="3"/>
    <n v="2"/>
    <n v="651.57000000000005"/>
    <s v="933 Main St"/>
    <x v="0"/>
    <x v="0"/>
    <s v="TRK54084424"/>
    <n v="7"/>
    <s v="WINTER15"/>
    <x v="3"/>
    <n v="1303.1400000000001"/>
    <n v="1303.1400000000001"/>
    <x v="3"/>
    <s v="Q4"/>
    <x v="0"/>
    <s v="Pending"/>
    <s v="Yes"/>
  </r>
  <r>
    <x v="661"/>
    <d v="2025-02-28T00:00:00"/>
    <s v="C63657"/>
    <x v="2"/>
    <n v="3"/>
    <n v="424.89"/>
    <s v="116 Main St"/>
    <x v="0"/>
    <x v="1"/>
    <s v="TRK86378984"/>
    <n v="6"/>
    <s v="FREESHIP"/>
    <x v="4"/>
    <n v="1274.67"/>
    <n v="1274.67"/>
    <x v="2"/>
    <s v="Q1"/>
    <x v="0"/>
    <s v="Pending"/>
    <s v="Yes"/>
  </r>
  <r>
    <x v="662"/>
    <d v="2023-01-28T00:00:00"/>
    <s v="C98332"/>
    <x v="5"/>
    <n v="3"/>
    <n v="438.89"/>
    <s v="985 Main St"/>
    <x v="4"/>
    <x v="2"/>
    <s v="TRK85744797"/>
    <n v="3"/>
    <m/>
    <x v="3"/>
    <n v="1316.67"/>
    <n v="1316.67"/>
    <x v="0"/>
    <s v="Q1"/>
    <x v="0"/>
    <s v="Pending"/>
    <s v="No"/>
  </r>
  <r>
    <x v="663"/>
    <d v="2024-04-15T00:00:00"/>
    <s v="C59774"/>
    <x v="0"/>
    <n v="1"/>
    <n v="72.599999999999994"/>
    <s v="941 Main St"/>
    <x v="0"/>
    <x v="1"/>
    <s v="TRK87635135"/>
    <n v="6"/>
    <s v="FREESHIP"/>
    <x v="0"/>
    <n v="72.599999999999994"/>
    <n v="72.599999999999994"/>
    <x v="6"/>
    <s v="Q2"/>
    <x v="2"/>
    <s v="Pending"/>
    <s v="Yes"/>
  </r>
  <r>
    <x v="664"/>
    <d v="2024-12-19T00:00:00"/>
    <s v="C14847"/>
    <x v="5"/>
    <n v="4"/>
    <n v="194.75"/>
    <s v="188 Main St"/>
    <x v="4"/>
    <x v="0"/>
    <s v="TRK46492755"/>
    <n v="5"/>
    <m/>
    <x v="3"/>
    <n v="779"/>
    <n v="779"/>
    <x v="8"/>
    <s v="Q4"/>
    <x v="0"/>
    <s v="Pending"/>
    <s v="No"/>
  </r>
  <r>
    <x v="665"/>
    <d v="2023-05-02T00:00:00"/>
    <s v="C83653"/>
    <x v="2"/>
    <n v="4"/>
    <n v="231.26"/>
    <s v="253 Main St"/>
    <x v="1"/>
    <x v="0"/>
    <s v="TRK32619935"/>
    <n v="6"/>
    <s v="WINTER15"/>
    <x v="4"/>
    <n v="925.04"/>
    <n v="925.04"/>
    <x v="4"/>
    <s v="Q2"/>
    <x v="0"/>
    <s v="Pending"/>
    <s v="Yes"/>
  </r>
  <r>
    <x v="666"/>
    <d v="2024-08-31T00:00:00"/>
    <s v="C35711"/>
    <x v="0"/>
    <n v="4"/>
    <n v="327.12"/>
    <s v="788 Main St"/>
    <x v="2"/>
    <x v="1"/>
    <s v="TRK45281495"/>
    <n v="4"/>
    <m/>
    <x v="2"/>
    <n v="1308.48"/>
    <n v="1308.48"/>
    <x v="1"/>
    <s v="Q3"/>
    <x v="0"/>
    <s v="Pending"/>
    <s v="No"/>
  </r>
  <r>
    <x v="667"/>
    <d v="2023-05-03T00:00:00"/>
    <s v="C10477"/>
    <x v="5"/>
    <n v="1"/>
    <n v="466.42"/>
    <s v="172 Main St"/>
    <x v="3"/>
    <x v="4"/>
    <s v="TRK41505339"/>
    <n v="5"/>
    <s v="SAVE10"/>
    <x v="2"/>
    <n v="466.42"/>
    <n v="466.42"/>
    <x v="4"/>
    <s v="Q2"/>
    <x v="1"/>
    <s v="Pending"/>
    <s v="Yes"/>
  </r>
  <r>
    <x v="668"/>
    <d v="2024-07-05T00:00:00"/>
    <s v="C61257"/>
    <x v="0"/>
    <n v="2"/>
    <n v="253.67"/>
    <s v="981 Main St"/>
    <x v="4"/>
    <x v="2"/>
    <s v="TRK25226070"/>
    <n v="3"/>
    <s v="WINTER15"/>
    <x v="3"/>
    <n v="507.34"/>
    <n v="507.34"/>
    <x v="10"/>
    <s v="Q3"/>
    <x v="0"/>
    <s v="Pending"/>
    <s v="Yes"/>
  </r>
  <r>
    <x v="669"/>
    <d v="2023-02-05T00:00:00"/>
    <s v="C60547"/>
    <x v="6"/>
    <n v="1"/>
    <n v="257"/>
    <s v="812 Main St"/>
    <x v="0"/>
    <x v="1"/>
    <s v="TRK65694249"/>
    <n v="5"/>
    <m/>
    <x v="1"/>
    <n v="257"/>
    <n v="257"/>
    <x v="2"/>
    <s v="Q1"/>
    <x v="1"/>
    <s v="Pending"/>
    <s v="No"/>
  </r>
  <r>
    <x v="670"/>
    <d v="2024-04-18T00:00:00"/>
    <s v="C14576"/>
    <x v="6"/>
    <n v="4"/>
    <n v="539.20000000000005"/>
    <s v="747 Main St"/>
    <x v="2"/>
    <x v="4"/>
    <s v="TRK21637540"/>
    <n v="8"/>
    <s v="FREESHIP"/>
    <x v="4"/>
    <n v="2156.8000000000002"/>
    <n v="2156.8000000000002"/>
    <x v="6"/>
    <s v="Q2"/>
    <x v="0"/>
    <s v="Pending"/>
    <s v="Yes"/>
  </r>
  <r>
    <x v="671"/>
    <d v="2023-06-15T00:00:00"/>
    <s v="C49282"/>
    <x v="3"/>
    <n v="5"/>
    <n v="50.74"/>
    <s v="737 Main St"/>
    <x v="3"/>
    <x v="1"/>
    <s v="TRK88653901"/>
    <n v="7"/>
    <s v="WINTER15"/>
    <x v="4"/>
    <n v="253.7"/>
    <n v="253.70000000000002"/>
    <x v="5"/>
    <s v="Q2"/>
    <x v="1"/>
    <s v="Pending"/>
    <s v="Yes"/>
  </r>
  <r>
    <x v="672"/>
    <d v="2023-05-09T00:00:00"/>
    <s v="C14017"/>
    <x v="1"/>
    <n v="2"/>
    <n v="624.16"/>
    <s v="984 Main St"/>
    <x v="0"/>
    <x v="0"/>
    <s v="TRK71009446"/>
    <n v="2"/>
    <s v="SAVE10"/>
    <x v="0"/>
    <n v="1248.32"/>
    <n v="1248.32"/>
    <x v="4"/>
    <s v="Q2"/>
    <x v="0"/>
    <s v="Pending"/>
    <s v="Yes"/>
  </r>
  <r>
    <x v="673"/>
    <d v="2023-02-21T00:00:00"/>
    <s v="C46504"/>
    <x v="2"/>
    <n v="2"/>
    <n v="372.92"/>
    <s v="131 Main St"/>
    <x v="2"/>
    <x v="3"/>
    <s v="TRK95024356"/>
    <n v="7"/>
    <s v="SAVE10"/>
    <x v="2"/>
    <n v="745.84"/>
    <n v="745.84"/>
    <x v="2"/>
    <s v="Q1"/>
    <x v="0"/>
    <s v="Completed"/>
    <s v="Yes"/>
  </r>
  <r>
    <x v="674"/>
    <d v="2024-01-09T00:00:00"/>
    <s v="C56928"/>
    <x v="5"/>
    <n v="4"/>
    <n v="358.75"/>
    <s v="860 Main St"/>
    <x v="3"/>
    <x v="3"/>
    <s v="TRK57792939"/>
    <n v="9"/>
    <s v="SAVE10"/>
    <x v="3"/>
    <n v="1435"/>
    <n v="1435"/>
    <x v="0"/>
    <s v="Q1"/>
    <x v="0"/>
    <s v="Completed"/>
    <s v="Yes"/>
  </r>
  <r>
    <x v="675"/>
    <d v="2024-08-06T00:00:00"/>
    <s v="C97749"/>
    <x v="6"/>
    <n v="3"/>
    <n v="342.02"/>
    <s v="906 Main St"/>
    <x v="0"/>
    <x v="4"/>
    <s v="TRK90233116"/>
    <n v="5"/>
    <m/>
    <x v="2"/>
    <n v="1026.06"/>
    <n v="1026.06"/>
    <x v="1"/>
    <s v="Q3"/>
    <x v="0"/>
    <s v="Pending"/>
    <s v="No"/>
  </r>
  <r>
    <x v="676"/>
    <d v="2025-06-23T00:00:00"/>
    <s v="C90431"/>
    <x v="5"/>
    <n v="2"/>
    <n v="422.34"/>
    <s v="985 Main St"/>
    <x v="2"/>
    <x v="1"/>
    <s v="TRK44151723"/>
    <n v="4"/>
    <s v="FREESHIP"/>
    <x v="0"/>
    <n v="844.68"/>
    <n v="844.68"/>
    <x v="5"/>
    <s v="Q2"/>
    <x v="0"/>
    <s v="Pending"/>
    <s v="Yes"/>
  </r>
  <r>
    <x v="677"/>
    <d v="2025-04-03T00:00:00"/>
    <s v="C56722"/>
    <x v="2"/>
    <n v="5"/>
    <n v="22.07"/>
    <s v="179 Main St"/>
    <x v="1"/>
    <x v="1"/>
    <s v="TRK78778569"/>
    <n v="7"/>
    <s v="FREESHIP"/>
    <x v="0"/>
    <n v="110.35"/>
    <n v="110.35"/>
    <x v="6"/>
    <s v="Q2"/>
    <x v="1"/>
    <s v="Pending"/>
    <s v="Yes"/>
  </r>
  <r>
    <x v="678"/>
    <d v="2024-11-24T00:00:00"/>
    <s v="C40863"/>
    <x v="3"/>
    <n v="3"/>
    <n v="163.13"/>
    <s v="457 Main St"/>
    <x v="3"/>
    <x v="0"/>
    <s v="TRK20553345"/>
    <n v="5"/>
    <s v="WINTER15"/>
    <x v="3"/>
    <n v="489.39"/>
    <n v="489.39"/>
    <x v="7"/>
    <s v="Q4"/>
    <x v="1"/>
    <s v="Pending"/>
    <s v="Yes"/>
  </r>
  <r>
    <x v="679"/>
    <d v="2023-02-02T00:00:00"/>
    <s v="C40798"/>
    <x v="2"/>
    <n v="3"/>
    <n v="360.66"/>
    <s v="304 Main St"/>
    <x v="1"/>
    <x v="2"/>
    <s v="TRK66106697"/>
    <n v="5"/>
    <s v="FREESHIP"/>
    <x v="0"/>
    <n v="1081.98"/>
    <n v="1081.98"/>
    <x v="2"/>
    <s v="Q1"/>
    <x v="0"/>
    <s v="Pending"/>
    <s v="Yes"/>
  </r>
  <r>
    <x v="680"/>
    <d v="2023-08-27T00:00:00"/>
    <s v="C16702"/>
    <x v="0"/>
    <n v="3"/>
    <n v="463.39"/>
    <s v="694 Main St"/>
    <x v="2"/>
    <x v="2"/>
    <s v="TRK16953491"/>
    <n v="3"/>
    <m/>
    <x v="3"/>
    <n v="1390.17"/>
    <n v="1390.17"/>
    <x v="1"/>
    <s v="Q3"/>
    <x v="0"/>
    <s v="Pending"/>
    <s v="No"/>
  </r>
  <r>
    <x v="681"/>
    <d v="2024-01-30T00:00:00"/>
    <s v="C38262"/>
    <x v="2"/>
    <n v="1"/>
    <n v="155.27000000000001"/>
    <s v="548 Main St"/>
    <x v="0"/>
    <x v="0"/>
    <s v="TRK47300502"/>
    <n v="6"/>
    <m/>
    <x v="2"/>
    <n v="155.27000000000001"/>
    <n v="155.27000000000001"/>
    <x v="0"/>
    <s v="Q1"/>
    <x v="1"/>
    <s v="Pending"/>
    <s v="No"/>
  </r>
  <r>
    <x v="682"/>
    <d v="2023-07-23T00:00:00"/>
    <s v="C50274"/>
    <x v="0"/>
    <n v="3"/>
    <n v="509.42"/>
    <s v="449 Main St"/>
    <x v="2"/>
    <x v="1"/>
    <s v="TRK91729086"/>
    <n v="5"/>
    <s v="FREESHIP"/>
    <x v="4"/>
    <n v="1528.26"/>
    <n v="1528.26"/>
    <x v="10"/>
    <s v="Q3"/>
    <x v="0"/>
    <s v="Pending"/>
    <s v="Yes"/>
  </r>
  <r>
    <x v="683"/>
    <d v="2025-05-18T00:00:00"/>
    <s v="C91591"/>
    <x v="6"/>
    <n v="4"/>
    <n v="652.48"/>
    <s v="887 Main St"/>
    <x v="4"/>
    <x v="4"/>
    <s v="TRK23554043"/>
    <n v="5"/>
    <s v="FREESHIP"/>
    <x v="0"/>
    <n v="2609.92"/>
    <n v="2609.92"/>
    <x v="4"/>
    <s v="Q2"/>
    <x v="0"/>
    <s v="Pending"/>
    <s v="Yes"/>
  </r>
  <r>
    <x v="684"/>
    <d v="2024-09-22T00:00:00"/>
    <s v="C96583"/>
    <x v="4"/>
    <n v="4"/>
    <n v="34.840000000000003"/>
    <s v="288 Main St"/>
    <x v="2"/>
    <x v="0"/>
    <s v="TRK64353241"/>
    <n v="8"/>
    <m/>
    <x v="2"/>
    <n v="139.36000000000001"/>
    <n v="139.36000000000001"/>
    <x v="11"/>
    <s v="Q3"/>
    <x v="1"/>
    <s v="Pending"/>
    <s v="No"/>
  </r>
  <r>
    <x v="685"/>
    <d v="2025-02-07T00:00:00"/>
    <s v="C64579"/>
    <x v="6"/>
    <n v="1"/>
    <n v="234.37"/>
    <s v="638 Main St"/>
    <x v="0"/>
    <x v="0"/>
    <s v="TRK10276565"/>
    <n v="5"/>
    <s v="FREESHIP"/>
    <x v="2"/>
    <n v="234.37"/>
    <n v="234.37"/>
    <x v="2"/>
    <s v="Q1"/>
    <x v="1"/>
    <s v="Pending"/>
    <s v="Yes"/>
  </r>
  <r>
    <x v="686"/>
    <d v="2023-10-09T00:00:00"/>
    <s v="C41903"/>
    <x v="6"/>
    <n v="3"/>
    <n v="53.6"/>
    <s v="525 Main St"/>
    <x v="4"/>
    <x v="4"/>
    <s v="TRK59112382"/>
    <n v="4"/>
    <s v="WINTER15"/>
    <x v="3"/>
    <n v="160.80000000000001"/>
    <n v="160.80000000000001"/>
    <x v="3"/>
    <s v="Q4"/>
    <x v="1"/>
    <s v="Pending"/>
    <s v="Yes"/>
  </r>
  <r>
    <x v="687"/>
    <d v="2023-09-13T00:00:00"/>
    <s v="C19742"/>
    <x v="2"/>
    <n v="1"/>
    <n v="332.09"/>
    <s v="408 Main St"/>
    <x v="3"/>
    <x v="2"/>
    <s v="TRK68845230"/>
    <n v="5"/>
    <s v="FREESHIP"/>
    <x v="0"/>
    <n v="332.09"/>
    <n v="332.09"/>
    <x v="11"/>
    <s v="Q3"/>
    <x v="1"/>
    <s v="Pending"/>
    <s v="Yes"/>
  </r>
  <r>
    <x v="688"/>
    <d v="2024-03-06T00:00:00"/>
    <s v="C20077"/>
    <x v="0"/>
    <n v="4"/>
    <n v="593.22"/>
    <s v="154 Main St"/>
    <x v="2"/>
    <x v="1"/>
    <s v="TRK36415742"/>
    <n v="8"/>
    <s v="WINTER15"/>
    <x v="3"/>
    <n v="2372.88"/>
    <n v="2372.88"/>
    <x v="9"/>
    <s v="Q1"/>
    <x v="0"/>
    <s v="Pending"/>
    <s v="Yes"/>
  </r>
  <r>
    <x v="689"/>
    <d v="2023-08-29T00:00:00"/>
    <s v="C13186"/>
    <x v="2"/>
    <n v="2"/>
    <n v="444.84"/>
    <s v="787 Main St"/>
    <x v="1"/>
    <x v="0"/>
    <s v="TRK56967415"/>
    <n v="7"/>
    <m/>
    <x v="3"/>
    <n v="889.68"/>
    <n v="889.68"/>
    <x v="1"/>
    <s v="Q3"/>
    <x v="0"/>
    <s v="Pending"/>
    <s v="No"/>
  </r>
  <r>
    <x v="690"/>
    <d v="2024-07-12T00:00:00"/>
    <s v="C29318"/>
    <x v="0"/>
    <n v="1"/>
    <n v="24.48"/>
    <s v="128 Main St"/>
    <x v="3"/>
    <x v="2"/>
    <s v="TRK88666721"/>
    <n v="1"/>
    <m/>
    <x v="0"/>
    <n v="24.48"/>
    <n v="24.48"/>
    <x v="10"/>
    <s v="Q3"/>
    <x v="2"/>
    <s v="Pending"/>
    <s v="No"/>
  </r>
  <r>
    <x v="691"/>
    <d v="2024-11-24T00:00:00"/>
    <s v="C36137"/>
    <x v="5"/>
    <n v="3"/>
    <n v="239.08"/>
    <s v="396 Main St"/>
    <x v="4"/>
    <x v="0"/>
    <s v="TRK57376416"/>
    <n v="8"/>
    <m/>
    <x v="4"/>
    <n v="717.24"/>
    <n v="717.24"/>
    <x v="7"/>
    <s v="Q4"/>
    <x v="0"/>
    <s v="Pending"/>
    <s v="No"/>
  </r>
  <r>
    <x v="692"/>
    <d v="2023-01-23T00:00:00"/>
    <s v="C25534"/>
    <x v="6"/>
    <n v="5"/>
    <n v="196.84"/>
    <s v="319 Main St"/>
    <x v="2"/>
    <x v="3"/>
    <s v="TRK68347402"/>
    <n v="5"/>
    <s v="WINTER15"/>
    <x v="0"/>
    <n v="984.2"/>
    <n v="984.2"/>
    <x v="0"/>
    <s v="Q1"/>
    <x v="0"/>
    <s v="Completed"/>
    <s v="Yes"/>
  </r>
  <r>
    <x v="693"/>
    <d v="2025-03-12T00:00:00"/>
    <s v="C62070"/>
    <x v="0"/>
    <n v="1"/>
    <n v="176.58"/>
    <s v="674 Main St"/>
    <x v="0"/>
    <x v="2"/>
    <s v="TRK10267127"/>
    <n v="4"/>
    <m/>
    <x v="1"/>
    <n v="176.58"/>
    <n v="176.58"/>
    <x v="9"/>
    <s v="Q1"/>
    <x v="1"/>
    <s v="Pending"/>
    <s v="No"/>
  </r>
  <r>
    <x v="694"/>
    <d v="2023-10-02T00:00:00"/>
    <s v="C92049"/>
    <x v="4"/>
    <n v="4"/>
    <n v="666.52"/>
    <s v="619 Main St"/>
    <x v="4"/>
    <x v="0"/>
    <s v="TRK32287092"/>
    <n v="8"/>
    <s v="FREESHIP"/>
    <x v="2"/>
    <n v="2666.08"/>
    <n v="2666.08"/>
    <x v="3"/>
    <s v="Q4"/>
    <x v="0"/>
    <s v="Pending"/>
    <s v="Yes"/>
  </r>
  <r>
    <x v="695"/>
    <d v="2024-11-23T00:00:00"/>
    <s v="C52604"/>
    <x v="4"/>
    <n v="5"/>
    <n v="101.3"/>
    <s v="553 Main St"/>
    <x v="1"/>
    <x v="0"/>
    <s v="TRK48839788"/>
    <n v="7"/>
    <s v="FREESHIP"/>
    <x v="2"/>
    <n v="506.5"/>
    <n v="506.5"/>
    <x v="7"/>
    <s v="Q4"/>
    <x v="0"/>
    <s v="Pending"/>
    <s v="Yes"/>
  </r>
  <r>
    <x v="696"/>
    <d v="2023-07-02T00:00:00"/>
    <s v="C22429"/>
    <x v="3"/>
    <n v="4"/>
    <n v="151.19999999999999"/>
    <s v="965 Main St"/>
    <x v="3"/>
    <x v="4"/>
    <s v="TRK38572927"/>
    <n v="9"/>
    <s v="WINTER15"/>
    <x v="3"/>
    <n v="604.79999999999995"/>
    <n v="604.79999999999995"/>
    <x v="10"/>
    <s v="Q3"/>
    <x v="0"/>
    <s v="Pending"/>
    <s v="Yes"/>
  </r>
  <r>
    <x v="697"/>
    <d v="2025-02-04T00:00:00"/>
    <s v="C27430"/>
    <x v="4"/>
    <n v="5"/>
    <n v="94.85"/>
    <s v="788 Main St"/>
    <x v="4"/>
    <x v="0"/>
    <s v="TRK45025840"/>
    <n v="6"/>
    <s v="WINTER15"/>
    <x v="2"/>
    <n v="474.25"/>
    <n v="474.25"/>
    <x v="2"/>
    <s v="Q1"/>
    <x v="1"/>
    <s v="Pending"/>
    <s v="Yes"/>
  </r>
  <r>
    <x v="698"/>
    <d v="2023-01-04T00:00:00"/>
    <s v="C44366"/>
    <x v="5"/>
    <n v="2"/>
    <n v="388.22"/>
    <s v="169 Main St"/>
    <x v="4"/>
    <x v="3"/>
    <s v="TRK48658394"/>
    <n v="2"/>
    <s v="WINTER15"/>
    <x v="0"/>
    <n v="776.44"/>
    <n v="776.44"/>
    <x v="0"/>
    <s v="Q1"/>
    <x v="0"/>
    <s v="Completed"/>
    <s v="Yes"/>
  </r>
  <r>
    <x v="699"/>
    <d v="2023-11-13T00:00:00"/>
    <s v="C36813"/>
    <x v="5"/>
    <n v="3"/>
    <n v="614.15"/>
    <s v="897 Main St"/>
    <x v="3"/>
    <x v="1"/>
    <s v="TRK84088900"/>
    <n v="3"/>
    <m/>
    <x v="3"/>
    <n v="1842.45"/>
    <n v="1842.4499999999998"/>
    <x v="7"/>
    <s v="Q4"/>
    <x v="0"/>
    <s v="Pending"/>
    <s v="No"/>
  </r>
  <r>
    <x v="700"/>
    <d v="2024-09-25T00:00:00"/>
    <s v="C40201"/>
    <x v="5"/>
    <n v="2"/>
    <n v="92.91"/>
    <s v="555 Main St"/>
    <x v="4"/>
    <x v="2"/>
    <s v="TRK30198779"/>
    <n v="3"/>
    <s v="WINTER15"/>
    <x v="0"/>
    <n v="185.82"/>
    <n v="185.82"/>
    <x v="11"/>
    <s v="Q3"/>
    <x v="1"/>
    <s v="Pending"/>
    <s v="Yes"/>
  </r>
  <r>
    <x v="701"/>
    <d v="2024-06-23T00:00:00"/>
    <s v="C75456"/>
    <x v="0"/>
    <n v="3"/>
    <n v="92.22"/>
    <s v="115 Main St"/>
    <x v="2"/>
    <x v="3"/>
    <s v="TRK90519490"/>
    <n v="5"/>
    <s v="FREESHIP"/>
    <x v="2"/>
    <n v="276.66000000000003"/>
    <n v="276.65999999999997"/>
    <x v="5"/>
    <s v="Q2"/>
    <x v="1"/>
    <s v="Completed"/>
    <s v="Yes"/>
  </r>
  <r>
    <x v="702"/>
    <d v="2024-06-09T00:00:00"/>
    <s v="C33315"/>
    <x v="4"/>
    <n v="3"/>
    <n v="562.54999999999995"/>
    <s v="154 Main St"/>
    <x v="0"/>
    <x v="2"/>
    <s v="TRK43589369"/>
    <n v="6"/>
    <m/>
    <x v="2"/>
    <n v="1687.65"/>
    <n v="1687.6499999999999"/>
    <x v="5"/>
    <s v="Q2"/>
    <x v="0"/>
    <s v="Pending"/>
    <s v="No"/>
  </r>
  <r>
    <x v="703"/>
    <d v="2023-03-22T00:00:00"/>
    <s v="C89336"/>
    <x v="6"/>
    <n v="1"/>
    <n v="92.79"/>
    <s v="799 Main St"/>
    <x v="4"/>
    <x v="4"/>
    <s v="TRK47665103"/>
    <n v="3"/>
    <s v="WINTER15"/>
    <x v="2"/>
    <n v="92.79"/>
    <n v="92.79"/>
    <x v="9"/>
    <s v="Q1"/>
    <x v="2"/>
    <s v="Pending"/>
    <s v="Yes"/>
  </r>
  <r>
    <x v="704"/>
    <d v="2023-06-03T00:00:00"/>
    <s v="C96034"/>
    <x v="6"/>
    <n v="4"/>
    <n v="30.27"/>
    <s v="819 Main St"/>
    <x v="1"/>
    <x v="3"/>
    <s v="TRK87261034"/>
    <n v="9"/>
    <s v="FREESHIP"/>
    <x v="4"/>
    <n v="121.08"/>
    <n v="121.08"/>
    <x v="5"/>
    <s v="Q2"/>
    <x v="1"/>
    <s v="Completed"/>
    <s v="Yes"/>
  </r>
  <r>
    <x v="705"/>
    <d v="2025-03-30T00:00:00"/>
    <s v="C50114"/>
    <x v="0"/>
    <n v="2"/>
    <n v="49.08"/>
    <s v="420 Main St"/>
    <x v="0"/>
    <x v="2"/>
    <s v="TRK20214786"/>
    <n v="7"/>
    <s v="FREESHIP"/>
    <x v="0"/>
    <n v="98.16"/>
    <n v="98.16"/>
    <x v="9"/>
    <s v="Q1"/>
    <x v="2"/>
    <s v="Pending"/>
    <s v="Yes"/>
  </r>
  <r>
    <x v="706"/>
    <d v="2025-03-02T00:00:00"/>
    <s v="C85330"/>
    <x v="6"/>
    <n v="5"/>
    <n v="228.09"/>
    <s v="969 Main St"/>
    <x v="3"/>
    <x v="2"/>
    <s v="TRK97693301"/>
    <n v="9"/>
    <s v="FREESHIP"/>
    <x v="3"/>
    <n v="1140.45"/>
    <n v="1140.45"/>
    <x v="9"/>
    <s v="Q1"/>
    <x v="0"/>
    <s v="Pending"/>
    <s v="Yes"/>
  </r>
  <r>
    <x v="707"/>
    <d v="2024-11-01T00:00:00"/>
    <s v="C31761"/>
    <x v="3"/>
    <n v="4"/>
    <n v="650.04"/>
    <s v="989 Main St"/>
    <x v="3"/>
    <x v="1"/>
    <s v="TRK17628852"/>
    <n v="6"/>
    <s v="SAVE10"/>
    <x v="3"/>
    <n v="2600.16"/>
    <n v="2600.16"/>
    <x v="7"/>
    <s v="Q4"/>
    <x v="0"/>
    <s v="Pending"/>
    <s v="Yes"/>
  </r>
  <r>
    <x v="708"/>
    <d v="2025-03-04T00:00:00"/>
    <s v="C25268"/>
    <x v="4"/>
    <n v="1"/>
    <n v="665.11"/>
    <s v="788 Main St"/>
    <x v="4"/>
    <x v="4"/>
    <s v="TRK20481215"/>
    <n v="3"/>
    <s v="FREESHIP"/>
    <x v="0"/>
    <n v="665.11"/>
    <n v="665.11"/>
    <x v="9"/>
    <s v="Q1"/>
    <x v="0"/>
    <s v="Pending"/>
    <s v="Yes"/>
  </r>
  <r>
    <x v="709"/>
    <d v="2024-12-07T00:00:00"/>
    <s v="C17132"/>
    <x v="6"/>
    <n v="1"/>
    <n v="386.03"/>
    <s v="855 Main St"/>
    <x v="1"/>
    <x v="4"/>
    <s v="TRK37504692"/>
    <n v="4"/>
    <s v="FREESHIP"/>
    <x v="4"/>
    <n v="386.03"/>
    <n v="386.03"/>
    <x v="8"/>
    <s v="Q4"/>
    <x v="1"/>
    <s v="Pending"/>
    <s v="Yes"/>
  </r>
  <r>
    <x v="710"/>
    <d v="2024-07-22T00:00:00"/>
    <s v="C48790"/>
    <x v="5"/>
    <n v="5"/>
    <n v="21.54"/>
    <s v="113 Main St"/>
    <x v="3"/>
    <x v="2"/>
    <s v="TRK19086608"/>
    <n v="10"/>
    <m/>
    <x v="4"/>
    <n v="107.7"/>
    <n v="107.69999999999999"/>
    <x v="10"/>
    <s v="Q3"/>
    <x v="1"/>
    <s v="Pending"/>
    <s v="No"/>
  </r>
  <r>
    <x v="711"/>
    <d v="2024-07-04T00:00:00"/>
    <s v="C61070"/>
    <x v="2"/>
    <n v="2"/>
    <n v="475.78"/>
    <s v="632 Main St"/>
    <x v="1"/>
    <x v="0"/>
    <s v="TRK90764894"/>
    <n v="2"/>
    <s v="WINTER15"/>
    <x v="4"/>
    <n v="951.56"/>
    <n v="951.56"/>
    <x v="10"/>
    <s v="Q3"/>
    <x v="0"/>
    <s v="Pending"/>
    <s v="Yes"/>
  </r>
  <r>
    <x v="712"/>
    <d v="2024-01-09T00:00:00"/>
    <s v="C56969"/>
    <x v="2"/>
    <n v="2"/>
    <n v="68.400000000000006"/>
    <s v="993 Main St"/>
    <x v="3"/>
    <x v="4"/>
    <s v="TRK10513339"/>
    <n v="7"/>
    <s v="FREESHIP"/>
    <x v="2"/>
    <n v="136.80000000000001"/>
    <n v="136.80000000000001"/>
    <x v="0"/>
    <s v="Q1"/>
    <x v="1"/>
    <s v="Pending"/>
    <s v="Yes"/>
  </r>
  <r>
    <x v="713"/>
    <d v="2025-06-21T00:00:00"/>
    <s v="C65056"/>
    <x v="2"/>
    <n v="4"/>
    <n v="532.49"/>
    <s v="638 Main St"/>
    <x v="1"/>
    <x v="1"/>
    <s v="TRK31705278"/>
    <n v="6"/>
    <s v="SAVE10"/>
    <x v="3"/>
    <n v="2129.96"/>
    <n v="2129.96"/>
    <x v="5"/>
    <s v="Q2"/>
    <x v="0"/>
    <s v="Pending"/>
    <s v="Yes"/>
  </r>
  <r>
    <x v="714"/>
    <d v="2023-04-21T00:00:00"/>
    <s v="C84888"/>
    <x v="5"/>
    <n v="1"/>
    <n v="51.73"/>
    <s v="278 Main St"/>
    <x v="0"/>
    <x v="4"/>
    <s v="TRK23612847"/>
    <n v="1"/>
    <s v="FREESHIP"/>
    <x v="3"/>
    <n v="51.73"/>
    <n v="51.73"/>
    <x v="6"/>
    <s v="Q2"/>
    <x v="2"/>
    <s v="Pending"/>
    <s v="Yes"/>
  </r>
  <r>
    <x v="715"/>
    <d v="2024-07-26T00:00:00"/>
    <s v="C68266"/>
    <x v="4"/>
    <n v="3"/>
    <n v="653.63"/>
    <s v="281 Main St"/>
    <x v="1"/>
    <x v="3"/>
    <s v="TRK96161062"/>
    <n v="7"/>
    <s v="FREESHIP"/>
    <x v="2"/>
    <n v="1960.89"/>
    <n v="1960.8899999999999"/>
    <x v="10"/>
    <s v="Q3"/>
    <x v="0"/>
    <s v="Completed"/>
    <s v="Yes"/>
  </r>
  <r>
    <x v="716"/>
    <d v="2024-06-13T00:00:00"/>
    <s v="C84115"/>
    <x v="3"/>
    <n v="3"/>
    <n v="454.29"/>
    <s v="891 Main St"/>
    <x v="2"/>
    <x v="4"/>
    <s v="TRK25466842"/>
    <n v="4"/>
    <s v="WINTER15"/>
    <x v="4"/>
    <n v="1362.87"/>
    <n v="1362.8700000000001"/>
    <x v="5"/>
    <s v="Q2"/>
    <x v="0"/>
    <s v="Pending"/>
    <s v="Yes"/>
  </r>
  <r>
    <x v="717"/>
    <d v="2023-10-16T00:00:00"/>
    <s v="C50087"/>
    <x v="3"/>
    <n v="3"/>
    <n v="122.11"/>
    <s v="707 Main St"/>
    <x v="1"/>
    <x v="3"/>
    <s v="TRK31143760"/>
    <n v="4"/>
    <s v="WINTER15"/>
    <x v="2"/>
    <n v="366.33"/>
    <n v="366.33"/>
    <x v="3"/>
    <s v="Q4"/>
    <x v="1"/>
    <s v="Completed"/>
    <s v="Yes"/>
  </r>
  <r>
    <x v="718"/>
    <d v="2023-04-08T00:00:00"/>
    <s v="C16790"/>
    <x v="5"/>
    <n v="4"/>
    <n v="64.739999999999995"/>
    <s v="718 Main St"/>
    <x v="3"/>
    <x v="1"/>
    <s v="TRK91791367"/>
    <n v="8"/>
    <s v="SAVE10"/>
    <x v="4"/>
    <n v="258.95999999999998"/>
    <n v="258.95999999999998"/>
    <x v="6"/>
    <s v="Q2"/>
    <x v="1"/>
    <s v="Pending"/>
    <s v="Yes"/>
  </r>
  <r>
    <x v="719"/>
    <d v="2024-01-21T00:00:00"/>
    <s v="C46920"/>
    <x v="5"/>
    <n v="2"/>
    <n v="681.06"/>
    <s v="703 Main St"/>
    <x v="0"/>
    <x v="0"/>
    <s v="TRK86403837"/>
    <n v="3"/>
    <s v="FREESHIP"/>
    <x v="3"/>
    <n v="1362.12"/>
    <n v="1362.12"/>
    <x v="0"/>
    <s v="Q1"/>
    <x v="0"/>
    <s v="Pending"/>
    <s v="Yes"/>
  </r>
  <r>
    <x v="720"/>
    <d v="2023-09-21T00:00:00"/>
    <s v="C12740"/>
    <x v="6"/>
    <n v="5"/>
    <n v="128.94999999999999"/>
    <s v="305 Main St"/>
    <x v="4"/>
    <x v="4"/>
    <s v="TRK98506513"/>
    <n v="10"/>
    <s v="FREESHIP"/>
    <x v="0"/>
    <n v="644.75"/>
    <n v="644.75"/>
    <x v="11"/>
    <s v="Q3"/>
    <x v="0"/>
    <s v="Pending"/>
    <s v="Yes"/>
  </r>
  <r>
    <x v="721"/>
    <d v="2024-03-18T00:00:00"/>
    <s v="C46557"/>
    <x v="6"/>
    <n v="2"/>
    <n v="118.59"/>
    <s v="890 Main St"/>
    <x v="2"/>
    <x v="3"/>
    <s v="TRK56110689"/>
    <n v="2"/>
    <m/>
    <x v="2"/>
    <n v="237.18"/>
    <n v="237.18"/>
    <x v="9"/>
    <s v="Q1"/>
    <x v="1"/>
    <s v="Completed"/>
    <s v="No"/>
  </r>
  <r>
    <x v="722"/>
    <d v="2024-11-15T00:00:00"/>
    <s v="C58156"/>
    <x v="4"/>
    <n v="1"/>
    <n v="95.1"/>
    <s v="516 Main St"/>
    <x v="3"/>
    <x v="4"/>
    <s v="TRK49719458"/>
    <n v="1"/>
    <s v="WINTER15"/>
    <x v="0"/>
    <n v="95.1"/>
    <n v="95.1"/>
    <x v="7"/>
    <s v="Q4"/>
    <x v="2"/>
    <s v="Pending"/>
    <s v="Yes"/>
  </r>
  <r>
    <x v="723"/>
    <d v="2023-12-09T00:00:00"/>
    <s v="C14455"/>
    <x v="6"/>
    <n v="3"/>
    <n v="54.95"/>
    <s v="385 Main St"/>
    <x v="4"/>
    <x v="2"/>
    <s v="TRK50933724"/>
    <n v="8"/>
    <s v="SAVE10"/>
    <x v="1"/>
    <n v="164.85"/>
    <n v="164.85000000000002"/>
    <x v="8"/>
    <s v="Q4"/>
    <x v="1"/>
    <s v="Pending"/>
    <s v="Yes"/>
  </r>
  <r>
    <x v="724"/>
    <d v="2024-10-18T00:00:00"/>
    <s v="C63150"/>
    <x v="4"/>
    <n v="3"/>
    <n v="136.97"/>
    <s v="326 Main St"/>
    <x v="2"/>
    <x v="2"/>
    <s v="TRK19348078"/>
    <n v="4"/>
    <s v="FREESHIP"/>
    <x v="1"/>
    <n v="410.91"/>
    <n v="410.90999999999997"/>
    <x v="3"/>
    <s v="Q4"/>
    <x v="1"/>
    <s v="Pending"/>
    <s v="Yes"/>
  </r>
  <r>
    <x v="725"/>
    <d v="2023-03-12T00:00:00"/>
    <s v="C95269"/>
    <x v="3"/>
    <n v="2"/>
    <n v="194.85"/>
    <s v="372 Main St"/>
    <x v="3"/>
    <x v="2"/>
    <s v="TRK45670926"/>
    <n v="5"/>
    <m/>
    <x v="1"/>
    <n v="389.7"/>
    <n v="389.7"/>
    <x v="9"/>
    <s v="Q1"/>
    <x v="1"/>
    <s v="Pending"/>
    <s v="No"/>
  </r>
  <r>
    <x v="726"/>
    <d v="2024-10-25T00:00:00"/>
    <s v="C18105"/>
    <x v="5"/>
    <n v="4"/>
    <n v="583.02"/>
    <s v="338 Main St"/>
    <x v="1"/>
    <x v="3"/>
    <s v="TRK94006117"/>
    <n v="4"/>
    <s v="FREESHIP"/>
    <x v="3"/>
    <n v="2332.08"/>
    <n v="2332.08"/>
    <x v="3"/>
    <s v="Q4"/>
    <x v="0"/>
    <s v="Completed"/>
    <s v="Yes"/>
  </r>
  <r>
    <x v="727"/>
    <d v="2024-09-29T00:00:00"/>
    <s v="C29063"/>
    <x v="3"/>
    <n v="5"/>
    <n v="95.75"/>
    <s v="379 Main St"/>
    <x v="1"/>
    <x v="0"/>
    <s v="TRK92745947"/>
    <n v="8"/>
    <s v="SAVE10"/>
    <x v="0"/>
    <n v="478.75"/>
    <n v="478.75"/>
    <x v="11"/>
    <s v="Q3"/>
    <x v="1"/>
    <s v="Pending"/>
    <s v="Yes"/>
  </r>
  <r>
    <x v="728"/>
    <d v="2024-07-29T00:00:00"/>
    <s v="C10154"/>
    <x v="6"/>
    <n v="4"/>
    <n v="325.76"/>
    <s v="827 Main St"/>
    <x v="3"/>
    <x v="0"/>
    <s v="TRK79793300"/>
    <n v="8"/>
    <s v="WINTER15"/>
    <x v="2"/>
    <n v="1303.04"/>
    <n v="1303.04"/>
    <x v="10"/>
    <s v="Q3"/>
    <x v="0"/>
    <s v="Pending"/>
    <s v="Yes"/>
  </r>
  <r>
    <x v="729"/>
    <d v="2023-09-08T00:00:00"/>
    <s v="C36997"/>
    <x v="1"/>
    <n v="4"/>
    <n v="186.41"/>
    <s v="819 Main St"/>
    <x v="3"/>
    <x v="4"/>
    <s v="TRK92794872"/>
    <n v="6"/>
    <s v="SAVE10"/>
    <x v="4"/>
    <n v="745.64"/>
    <n v="745.64"/>
    <x v="11"/>
    <s v="Q3"/>
    <x v="0"/>
    <s v="Pending"/>
    <s v="Yes"/>
  </r>
  <r>
    <x v="730"/>
    <d v="2025-02-22T00:00:00"/>
    <s v="C77357"/>
    <x v="1"/>
    <n v="1"/>
    <n v="474.6"/>
    <s v="407 Main St"/>
    <x v="0"/>
    <x v="3"/>
    <s v="TRK91943923"/>
    <n v="4"/>
    <s v="SAVE10"/>
    <x v="2"/>
    <n v="474.6"/>
    <n v="474.6"/>
    <x v="2"/>
    <s v="Q1"/>
    <x v="1"/>
    <s v="Completed"/>
    <s v="Yes"/>
  </r>
  <r>
    <x v="731"/>
    <d v="2024-06-07T00:00:00"/>
    <s v="C71310"/>
    <x v="4"/>
    <n v="5"/>
    <n v="584.46"/>
    <s v="308 Main St"/>
    <x v="2"/>
    <x v="2"/>
    <s v="TRK48292586"/>
    <n v="8"/>
    <m/>
    <x v="2"/>
    <n v="2922.3"/>
    <n v="2922.3"/>
    <x v="5"/>
    <s v="Q2"/>
    <x v="0"/>
    <s v="Pending"/>
    <s v="No"/>
  </r>
  <r>
    <x v="732"/>
    <d v="2025-03-07T00:00:00"/>
    <s v="C80987"/>
    <x v="5"/>
    <n v="1"/>
    <n v="132.05000000000001"/>
    <s v="787 Main St"/>
    <x v="1"/>
    <x v="3"/>
    <s v="TRK42187776"/>
    <n v="2"/>
    <m/>
    <x v="4"/>
    <n v="132.05000000000001"/>
    <n v="132.05000000000001"/>
    <x v="9"/>
    <s v="Q1"/>
    <x v="1"/>
    <s v="Completed"/>
    <s v="No"/>
  </r>
  <r>
    <x v="733"/>
    <d v="2023-12-04T00:00:00"/>
    <s v="C90757"/>
    <x v="2"/>
    <n v="4"/>
    <n v="494.84"/>
    <s v="694 Main St"/>
    <x v="4"/>
    <x v="2"/>
    <s v="TRK87991608"/>
    <n v="8"/>
    <s v="SAVE10"/>
    <x v="2"/>
    <n v="1979.36"/>
    <n v="1979.36"/>
    <x v="8"/>
    <s v="Q4"/>
    <x v="0"/>
    <s v="Pending"/>
    <s v="Yes"/>
  </r>
  <r>
    <x v="734"/>
    <d v="2024-01-23T00:00:00"/>
    <s v="C51898"/>
    <x v="4"/>
    <n v="4"/>
    <n v="224.61"/>
    <s v="630 Main St"/>
    <x v="2"/>
    <x v="2"/>
    <s v="TRK19767885"/>
    <n v="6"/>
    <s v="WINTER15"/>
    <x v="3"/>
    <n v="898.44"/>
    <n v="898.44"/>
    <x v="0"/>
    <s v="Q1"/>
    <x v="0"/>
    <s v="Pending"/>
    <s v="Yes"/>
  </r>
  <r>
    <x v="735"/>
    <d v="2024-06-28T00:00:00"/>
    <s v="C94508"/>
    <x v="0"/>
    <n v="4"/>
    <n v="44.07"/>
    <s v="359 Main St"/>
    <x v="0"/>
    <x v="4"/>
    <s v="TRK13443264"/>
    <n v="6"/>
    <m/>
    <x v="2"/>
    <n v="176.28"/>
    <n v="176.28"/>
    <x v="5"/>
    <s v="Q2"/>
    <x v="1"/>
    <s v="Pending"/>
    <s v="No"/>
  </r>
  <r>
    <x v="736"/>
    <d v="2024-02-09T00:00:00"/>
    <s v="C59441"/>
    <x v="0"/>
    <n v="5"/>
    <n v="418.53"/>
    <s v="696 Main St"/>
    <x v="2"/>
    <x v="4"/>
    <s v="TRK66186874"/>
    <n v="6"/>
    <s v="FREESHIP"/>
    <x v="4"/>
    <n v="2092.65"/>
    <n v="2092.6499999999996"/>
    <x v="2"/>
    <s v="Q1"/>
    <x v="0"/>
    <s v="Pending"/>
    <s v="Yes"/>
  </r>
  <r>
    <x v="737"/>
    <d v="2024-01-03T00:00:00"/>
    <s v="C91029"/>
    <x v="1"/>
    <n v="4"/>
    <n v="532.87"/>
    <s v="972 Main St"/>
    <x v="4"/>
    <x v="4"/>
    <s v="TRK25501930"/>
    <n v="9"/>
    <s v="FREESHIP"/>
    <x v="0"/>
    <n v="2131.48"/>
    <n v="2131.48"/>
    <x v="0"/>
    <s v="Q1"/>
    <x v="0"/>
    <s v="Pending"/>
    <s v="Yes"/>
  </r>
  <r>
    <x v="738"/>
    <d v="2025-06-04T00:00:00"/>
    <s v="C96261"/>
    <x v="1"/>
    <n v="2"/>
    <n v="485.37"/>
    <s v="264 Main St"/>
    <x v="2"/>
    <x v="0"/>
    <s v="TRK44998396"/>
    <n v="5"/>
    <s v="SAVE10"/>
    <x v="2"/>
    <n v="970.74"/>
    <n v="970.74"/>
    <x v="5"/>
    <s v="Q2"/>
    <x v="0"/>
    <s v="Pending"/>
    <s v="Yes"/>
  </r>
  <r>
    <x v="739"/>
    <d v="2024-06-13T00:00:00"/>
    <s v="C35123"/>
    <x v="1"/>
    <n v="4"/>
    <n v="386.73"/>
    <s v="513 Main St"/>
    <x v="4"/>
    <x v="3"/>
    <s v="TRK58979275"/>
    <n v="4"/>
    <s v="SAVE10"/>
    <x v="3"/>
    <n v="1546.92"/>
    <n v="1546.92"/>
    <x v="5"/>
    <s v="Q2"/>
    <x v="0"/>
    <s v="Completed"/>
    <s v="Yes"/>
  </r>
  <r>
    <x v="740"/>
    <d v="2024-07-20T00:00:00"/>
    <s v="C10892"/>
    <x v="6"/>
    <n v="2"/>
    <n v="377.47"/>
    <s v="433 Main St"/>
    <x v="4"/>
    <x v="4"/>
    <s v="TRK76154554"/>
    <n v="7"/>
    <m/>
    <x v="4"/>
    <n v="754.94"/>
    <n v="754.94"/>
    <x v="10"/>
    <s v="Q3"/>
    <x v="0"/>
    <s v="Pending"/>
    <s v="No"/>
  </r>
  <r>
    <x v="741"/>
    <d v="2025-01-23T00:00:00"/>
    <s v="C99683"/>
    <x v="0"/>
    <n v="5"/>
    <n v="332.64"/>
    <s v="945 Main St"/>
    <x v="3"/>
    <x v="3"/>
    <s v="TRK87305883"/>
    <n v="10"/>
    <m/>
    <x v="1"/>
    <n v="1663.2"/>
    <n v="1663.1999999999998"/>
    <x v="0"/>
    <s v="Q1"/>
    <x v="0"/>
    <s v="Completed"/>
    <s v="No"/>
  </r>
  <r>
    <x v="742"/>
    <d v="2024-11-30T00:00:00"/>
    <s v="C41974"/>
    <x v="5"/>
    <n v="3"/>
    <n v="699.93"/>
    <s v="726 Main St"/>
    <x v="4"/>
    <x v="2"/>
    <s v="TRK48051468"/>
    <n v="7"/>
    <s v="SAVE10"/>
    <x v="4"/>
    <n v="2099.79"/>
    <n v="2099.79"/>
    <x v="7"/>
    <s v="Q4"/>
    <x v="0"/>
    <s v="Pending"/>
    <s v="Yes"/>
  </r>
  <r>
    <x v="743"/>
    <d v="2024-09-30T00:00:00"/>
    <s v="C23978"/>
    <x v="0"/>
    <n v="1"/>
    <n v="576.35"/>
    <s v="549 Main St"/>
    <x v="3"/>
    <x v="2"/>
    <s v="TRK87090813"/>
    <n v="1"/>
    <s v="WINTER15"/>
    <x v="0"/>
    <n v="576.35"/>
    <n v="576.35"/>
    <x v="11"/>
    <s v="Q3"/>
    <x v="0"/>
    <s v="Pending"/>
    <s v="Yes"/>
  </r>
  <r>
    <x v="744"/>
    <d v="2024-06-12T00:00:00"/>
    <s v="C10642"/>
    <x v="2"/>
    <n v="2"/>
    <n v="461.37"/>
    <s v="200 Main St"/>
    <x v="4"/>
    <x v="3"/>
    <s v="TRK98725693"/>
    <n v="5"/>
    <s v="SAVE10"/>
    <x v="4"/>
    <n v="922.74"/>
    <n v="922.74"/>
    <x v="5"/>
    <s v="Q2"/>
    <x v="0"/>
    <s v="Completed"/>
    <s v="Yes"/>
  </r>
  <r>
    <x v="745"/>
    <d v="2023-03-02T00:00:00"/>
    <s v="C73813"/>
    <x v="4"/>
    <n v="4"/>
    <n v="111.3"/>
    <s v="364 Main St"/>
    <x v="0"/>
    <x v="4"/>
    <s v="TRK89906749"/>
    <n v="7"/>
    <s v="FREESHIP"/>
    <x v="2"/>
    <n v="445.2"/>
    <n v="445.2"/>
    <x v="9"/>
    <s v="Q1"/>
    <x v="1"/>
    <s v="Pending"/>
    <s v="Yes"/>
  </r>
  <r>
    <x v="746"/>
    <d v="2025-02-24T00:00:00"/>
    <s v="C32183"/>
    <x v="6"/>
    <n v="3"/>
    <n v="661.89"/>
    <s v="551 Main St"/>
    <x v="1"/>
    <x v="1"/>
    <s v="TRK76287027"/>
    <n v="6"/>
    <s v="WINTER15"/>
    <x v="1"/>
    <n v="1985.67"/>
    <n v="1985.67"/>
    <x v="2"/>
    <s v="Q1"/>
    <x v="0"/>
    <s v="Pending"/>
    <s v="Yes"/>
  </r>
  <r>
    <x v="747"/>
    <d v="2025-03-12T00:00:00"/>
    <s v="C54277"/>
    <x v="2"/>
    <n v="2"/>
    <n v="259.58"/>
    <s v="940 Main St"/>
    <x v="0"/>
    <x v="3"/>
    <s v="TRK26500181"/>
    <n v="7"/>
    <s v="FREESHIP"/>
    <x v="0"/>
    <n v="519.16"/>
    <n v="519.16"/>
    <x v="9"/>
    <s v="Q1"/>
    <x v="0"/>
    <s v="Completed"/>
    <s v="Yes"/>
  </r>
  <r>
    <x v="748"/>
    <d v="2024-07-15T00:00:00"/>
    <s v="C56553"/>
    <x v="2"/>
    <n v="3"/>
    <n v="70.81"/>
    <s v="249 Main St"/>
    <x v="2"/>
    <x v="0"/>
    <s v="TRK37667360"/>
    <n v="8"/>
    <s v="FREESHIP"/>
    <x v="1"/>
    <n v="212.43"/>
    <n v="212.43"/>
    <x v="10"/>
    <s v="Q3"/>
    <x v="1"/>
    <s v="Pending"/>
    <s v="Yes"/>
  </r>
  <r>
    <x v="749"/>
    <d v="2025-04-13T00:00:00"/>
    <s v="C17551"/>
    <x v="5"/>
    <n v="1"/>
    <n v="518.39"/>
    <s v="997 Main St"/>
    <x v="0"/>
    <x v="4"/>
    <s v="TRK88797170"/>
    <n v="4"/>
    <s v="FREESHIP"/>
    <x v="0"/>
    <n v="518.39"/>
    <n v="518.39"/>
    <x v="6"/>
    <s v="Q2"/>
    <x v="0"/>
    <s v="Pending"/>
    <s v="Yes"/>
  </r>
  <r>
    <x v="750"/>
    <d v="2023-01-14T00:00:00"/>
    <s v="C14737"/>
    <x v="2"/>
    <n v="4"/>
    <n v="145.41"/>
    <s v="637 Main St"/>
    <x v="2"/>
    <x v="2"/>
    <s v="TRK10295115"/>
    <n v="7"/>
    <s v="FREESHIP"/>
    <x v="2"/>
    <n v="581.64"/>
    <n v="581.64"/>
    <x v="0"/>
    <s v="Q1"/>
    <x v="0"/>
    <s v="Pending"/>
    <s v="Yes"/>
  </r>
  <r>
    <x v="751"/>
    <d v="2023-01-24T00:00:00"/>
    <s v="C35168"/>
    <x v="2"/>
    <n v="2"/>
    <n v="599.86"/>
    <s v="455 Main St"/>
    <x v="3"/>
    <x v="4"/>
    <s v="TRK76960854"/>
    <n v="7"/>
    <s v="FREESHIP"/>
    <x v="3"/>
    <n v="1199.72"/>
    <n v="1199.72"/>
    <x v="0"/>
    <s v="Q1"/>
    <x v="0"/>
    <s v="Pending"/>
    <s v="Yes"/>
  </r>
  <r>
    <x v="752"/>
    <d v="2024-10-03T00:00:00"/>
    <s v="C82217"/>
    <x v="1"/>
    <n v="4"/>
    <n v="429.37"/>
    <s v="299 Main St"/>
    <x v="2"/>
    <x v="3"/>
    <s v="TRK33305694"/>
    <n v="8"/>
    <s v="FREESHIP"/>
    <x v="4"/>
    <n v="1717.48"/>
    <n v="1717.48"/>
    <x v="3"/>
    <s v="Q4"/>
    <x v="0"/>
    <s v="Completed"/>
    <s v="Yes"/>
  </r>
  <r>
    <x v="753"/>
    <d v="2024-04-24T00:00:00"/>
    <s v="C42270"/>
    <x v="1"/>
    <n v="2"/>
    <n v="241.49"/>
    <s v="864 Main St"/>
    <x v="0"/>
    <x v="2"/>
    <s v="TRK72697796"/>
    <n v="7"/>
    <s v="FREESHIP"/>
    <x v="0"/>
    <n v="482.98"/>
    <n v="482.98"/>
    <x v="6"/>
    <s v="Q2"/>
    <x v="1"/>
    <s v="Pending"/>
    <s v="Yes"/>
  </r>
  <r>
    <x v="754"/>
    <d v="2025-05-31T00:00:00"/>
    <s v="C48846"/>
    <x v="4"/>
    <n v="2"/>
    <n v="452.05"/>
    <s v="983 Main St"/>
    <x v="2"/>
    <x v="2"/>
    <s v="TRK52804097"/>
    <n v="3"/>
    <s v="WINTER15"/>
    <x v="2"/>
    <n v="904.1"/>
    <n v="904.1"/>
    <x v="4"/>
    <s v="Q2"/>
    <x v="0"/>
    <s v="Pending"/>
    <s v="Yes"/>
  </r>
  <r>
    <x v="755"/>
    <d v="2023-06-13T00:00:00"/>
    <s v="C54160"/>
    <x v="6"/>
    <n v="3"/>
    <n v="336.71"/>
    <s v="658 Main St"/>
    <x v="2"/>
    <x v="4"/>
    <s v="TRK60515972"/>
    <n v="4"/>
    <m/>
    <x v="2"/>
    <n v="1010.13"/>
    <n v="1010.1299999999999"/>
    <x v="5"/>
    <s v="Q2"/>
    <x v="0"/>
    <s v="Pending"/>
    <s v="No"/>
  </r>
  <r>
    <x v="756"/>
    <d v="2024-06-27T00:00:00"/>
    <s v="C14080"/>
    <x v="1"/>
    <n v="1"/>
    <n v="283.69"/>
    <s v="202 Main St"/>
    <x v="3"/>
    <x v="0"/>
    <s v="TRK93163682"/>
    <n v="6"/>
    <m/>
    <x v="4"/>
    <n v="283.69"/>
    <n v="283.69"/>
    <x v="5"/>
    <s v="Q2"/>
    <x v="1"/>
    <s v="Pending"/>
    <s v="No"/>
  </r>
  <r>
    <x v="757"/>
    <d v="2024-02-22T00:00:00"/>
    <s v="C81074"/>
    <x v="6"/>
    <n v="1"/>
    <n v="157.72"/>
    <s v="597 Main St"/>
    <x v="0"/>
    <x v="3"/>
    <s v="TRK91105190"/>
    <n v="2"/>
    <s v="FREESHIP"/>
    <x v="4"/>
    <n v="157.72"/>
    <n v="157.72"/>
    <x v="2"/>
    <s v="Q1"/>
    <x v="1"/>
    <s v="Completed"/>
    <s v="Yes"/>
  </r>
  <r>
    <x v="758"/>
    <d v="2023-03-26T00:00:00"/>
    <s v="C69021"/>
    <x v="2"/>
    <n v="3"/>
    <n v="624.84"/>
    <s v="917 Main St"/>
    <x v="2"/>
    <x v="1"/>
    <s v="TRK57148510"/>
    <n v="8"/>
    <s v="WINTER15"/>
    <x v="3"/>
    <n v="1874.52"/>
    <n v="1874.52"/>
    <x v="9"/>
    <s v="Q1"/>
    <x v="0"/>
    <s v="Pending"/>
    <s v="Yes"/>
  </r>
  <r>
    <x v="759"/>
    <d v="2023-07-24T00:00:00"/>
    <s v="C96283"/>
    <x v="6"/>
    <n v="3"/>
    <n v="308.01"/>
    <s v="366 Main St"/>
    <x v="4"/>
    <x v="4"/>
    <s v="TRK91784124"/>
    <n v="3"/>
    <s v="FREESHIP"/>
    <x v="3"/>
    <n v="924.03"/>
    <n v="924.03"/>
    <x v="10"/>
    <s v="Q3"/>
    <x v="0"/>
    <s v="Pending"/>
    <s v="Yes"/>
  </r>
  <r>
    <x v="760"/>
    <d v="2025-02-18T00:00:00"/>
    <s v="C96636"/>
    <x v="6"/>
    <n v="1"/>
    <n v="39.56"/>
    <s v="283 Main St"/>
    <x v="0"/>
    <x v="1"/>
    <s v="TRK73324346"/>
    <n v="5"/>
    <m/>
    <x v="4"/>
    <n v="39.56"/>
    <n v="39.56"/>
    <x v="2"/>
    <s v="Q1"/>
    <x v="2"/>
    <s v="Pending"/>
    <s v="No"/>
  </r>
  <r>
    <x v="761"/>
    <d v="2023-06-02T00:00:00"/>
    <s v="C37235"/>
    <x v="6"/>
    <n v="4"/>
    <n v="37.76"/>
    <s v="217 Main St"/>
    <x v="0"/>
    <x v="3"/>
    <s v="TRK67789367"/>
    <n v="7"/>
    <m/>
    <x v="4"/>
    <n v="151.04"/>
    <n v="151.04"/>
    <x v="5"/>
    <s v="Q2"/>
    <x v="1"/>
    <s v="Completed"/>
    <s v="No"/>
  </r>
  <r>
    <x v="762"/>
    <d v="2024-09-17T00:00:00"/>
    <s v="C12444"/>
    <x v="1"/>
    <n v="3"/>
    <n v="76.959999999999994"/>
    <s v="611 Main St"/>
    <x v="4"/>
    <x v="2"/>
    <s v="TRK97621403"/>
    <n v="8"/>
    <s v="FREESHIP"/>
    <x v="2"/>
    <n v="230.88"/>
    <n v="230.88"/>
    <x v="11"/>
    <s v="Q3"/>
    <x v="1"/>
    <s v="Pending"/>
    <s v="Yes"/>
  </r>
  <r>
    <x v="763"/>
    <d v="2023-04-06T00:00:00"/>
    <s v="C79142"/>
    <x v="5"/>
    <n v="1"/>
    <n v="569.96"/>
    <s v="533 Main St"/>
    <x v="1"/>
    <x v="3"/>
    <s v="TRK30915955"/>
    <n v="4"/>
    <s v="FREESHIP"/>
    <x v="2"/>
    <n v="569.96"/>
    <n v="569.96"/>
    <x v="6"/>
    <s v="Q2"/>
    <x v="0"/>
    <s v="Completed"/>
    <s v="Yes"/>
  </r>
  <r>
    <x v="764"/>
    <d v="2024-03-10T00:00:00"/>
    <s v="C35983"/>
    <x v="5"/>
    <n v="5"/>
    <n v="627.42999999999995"/>
    <s v="806 Main St"/>
    <x v="2"/>
    <x v="1"/>
    <s v="TRK14016163"/>
    <n v="10"/>
    <s v="FREESHIP"/>
    <x v="2"/>
    <n v="3137.15"/>
    <n v="3137.1499999999996"/>
    <x v="9"/>
    <s v="Q1"/>
    <x v="0"/>
    <s v="Pending"/>
    <s v="Yes"/>
  </r>
  <r>
    <x v="765"/>
    <d v="2023-10-06T00:00:00"/>
    <s v="C36150"/>
    <x v="5"/>
    <n v="2"/>
    <n v="534.91"/>
    <s v="281 Main St"/>
    <x v="0"/>
    <x v="2"/>
    <s v="TRK96249043"/>
    <n v="5"/>
    <s v="SAVE10"/>
    <x v="4"/>
    <n v="1069.82"/>
    <n v="1069.82"/>
    <x v="3"/>
    <s v="Q4"/>
    <x v="0"/>
    <s v="Pending"/>
    <s v="Yes"/>
  </r>
  <r>
    <x v="766"/>
    <d v="2023-01-22T00:00:00"/>
    <s v="C91454"/>
    <x v="4"/>
    <n v="2"/>
    <n v="278.88"/>
    <s v="494 Main St"/>
    <x v="0"/>
    <x v="4"/>
    <s v="TRK99985340"/>
    <n v="3"/>
    <s v="FREESHIP"/>
    <x v="1"/>
    <n v="557.76"/>
    <n v="557.76"/>
    <x v="0"/>
    <s v="Q1"/>
    <x v="0"/>
    <s v="Pending"/>
    <s v="Yes"/>
  </r>
  <r>
    <x v="767"/>
    <d v="2025-04-18T00:00:00"/>
    <s v="C19368"/>
    <x v="2"/>
    <n v="2"/>
    <n v="323.22000000000003"/>
    <s v="517 Main St"/>
    <x v="2"/>
    <x v="3"/>
    <s v="TRK80436037"/>
    <n v="7"/>
    <m/>
    <x v="0"/>
    <n v="646.44000000000005"/>
    <n v="646.44000000000005"/>
    <x v="6"/>
    <s v="Q2"/>
    <x v="0"/>
    <s v="Completed"/>
    <s v="No"/>
  </r>
  <r>
    <x v="768"/>
    <d v="2023-09-04T00:00:00"/>
    <s v="C35987"/>
    <x v="2"/>
    <n v="5"/>
    <n v="653.46"/>
    <s v="165 Main St"/>
    <x v="4"/>
    <x v="1"/>
    <s v="TRK28918815"/>
    <n v="9"/>
    <s v="WINTER15"/>
    <x v="2"/>
    <n v="3267.3"/>
    <n v="3267.3"/>
    <x v="11"/>
    <s v="Q3"/>
    <x v="0"/>
    <s v="Pending"/>
    <s v="Yes"/>
  </r>
  <r>
    <x v="769"/>
    <d v="2023-07-06T00:00:00"/>
    <s v="C13366"/>
    <x v="4"/>
    <n v="4"/>
    <n v="678.55"/>
    <s v="568 Main St"/>
    <x v="4"/>
    <x v="3"/>
    <s v="TRK98691410"/>
    <n v="5"/>
    <m/>
    <x v="2"/>
    <n v="2714.2"/>
    <n v="2714.2"/>
    <x v="10"/>
    <s v="Q3"/>
    <x v="0"/>
    <s v="Completed"/>
    <s v="No"/>
  </r>
  <r>
    <x v="770"/>
    <d v="2024-02-11T00:00:00"/>
    <s v="C72166"/>
    <x v="6"/>
    <n v="1"/>
    <n v="314.38"/>
    <s v="227 Main St"/>
    <x v="1"/>
    <x v="2"/>
    <s v="TRK67733444"/>
    <n v="6"/>
    <m/>
    <x v="4"/>
    <n v="314.38"/>
    <n v="314.38"/>
    <x v="2"/>
    <s v="Q1"/>
    <x v="1"/>
    <s v="Pending"/>
    <s v="No"/>
  </r>
  <r>
    <x v="771"/>
    <d v="2024-06-12T00:00:00"/>
    <s v="C20357"/>
    <x v="1"/>
    <n v="3"/>
    <n v="692.44"/>
    <s v="272 Main St"/>
    <x v="0"/>
    <x v="1"/>
    <s v="TRK82236408"/>
    <n v="8"/>
    <s v="FREESHIP"/>
    <x v="4"/>
    <n v="2077.3200000000002"/>
    <n v="2077.3200000000002"/>
    <x v="5"/>
    <s v="Q2"/>
    <x v="0"/>
    <s v="Pending"/>
    <s v="Yes"/>
  </r>
  <r>
    <x v="772"/>
    <d v="2024-07-28T00:00:00"/>
    <s v="C33802"/>
    <x v="0"/>
    <n v="1"/>
    <n v="604.87"/>
    <s v="461 Main St"/>
    <x v="1"/>
    <x v="3"/>
    <s v="TRK25799478"/>
    <n v="4"/>
    <m/>
    <x v="0"/>
    <n v="604.87"/>
    <n v="604.87"/>
    <x v="10"/>
    <s v="Q3"/>
    <x v="0"/>
    <s v="Completed"/>
    <s v="No"/>
  </r>
  <r>
    <x v="773"/>
    <d v="2025-06-28T00:00:00"/>
    <s v="C99205"/>
    <x v="1"/>
    <n v="2"/>
    <n v="512.33000000000004"/>
    <s v="415 Main St"/>
    <x v="4"/>
    <x v="1"/>
    <s v="TRK48904015"/>
    <n v="7"/>
    <m/>
    <x v="3"/>
    <n v="1024.6600000000001"/>
    <n v="1024.6600000000001"/>
    <x v="5"/>
    <s v="Q2"/>
    <x v="0"/>
    <s v="Pending"/>
    <s v="No"/>
  </r>
  <r>
    <x v="774"/>
    <d v="2025-04-15T00:00:00"/>
    <s v="C29701"/>
    <x v="3"/>
    <n v="3"/>
    <n v="20.54"/>
    <s v="257 Main St"/>
    <x v="2"/>
    <x v="1"/>
    <s v="TRK42266846"/>
    <n v="3"/>
    <s v="FREESHIP"/>
    <x v="0"/>
    <n v="61.62"/>
    <n v="61.62"/>
    <x v="6"/>
    <s v="Q2"/>
    <x v="2"/>
    <s v="Pending"/>
    <s v="Yes"/>
  </r>
  <r>
    <x v="775"/>
    <d v="2023-03-04T00:00:00"/>
    <s v="C73941"/>
    <x v="1"/>
    <n v="2"/>
    <n v="625.22"/>
    <s v="569 Main St"/>
    <x v="1"/>
    <x v="1"/>
    <s v="TRK22051900"/>
    <n v="5"/>
    <m/>
    <x v="4"/>
    <n v="1250.44"/>
    <n v="1250.44"/>
    <x v="9"/>
    <s v="Q1"/>
    <x v="0"/>
    <s v="Pending"/>
    <s v="No"/>
  </r>
  <r>
    <x v="776"/>
    <d v="2023-08-21T00:00:00"/>
    <s v="C69168"/>
    <x v="2"/>
    <n v="1"/>
    <n v="21.19"/>
    <s v="482 Main St"/>
    <x v="4"/>
    <x v="2"/>
    <s v="TRK10446197"/>
    <n v="5"/>
    <s v="WINTER15"/>
    <x v="4"/>
    <n v="21.19"/>
    <n v="21.19"/>
    <x v="1"/>
    <s v="Q3"/>
    <x v="2"/>
    <s v="Pending"/>
    <s v="Yes"/>
  </r>
  <r>
    <x v="777"/>
    <d v="2025-03-21T00:00:00"/>
    <s v="C66116"/>
    <x v="3"/>
    <n v="5"/>
    <n v="64.489999999999995"/>
    <s v="633 Main St"/>
    <x v="1"/>
    <x v="1"/>
    <s v="TRK41967983"/>
    <n v="7"/>
    <m/>
    <x v="3"/>
    <n v="322.45"/>
    <n v="322.45"/>
    <x v="9"/>
    <s v="Q1"/>
    <x v="1"/>
    <s v="Pending"/>
    <s v="No"/>
  </r>
  <r>
    <x v="778"/>
    <d v="2023-04-28T00:00:00"/>
    <s v="C85059"/>
    <x v="5"/>
    <n v="4"/>
    <n v="246.85"/>
    <s v="316 Main St"/>
    <x v="2"/>
    <x v="0"/>
    <s v="TRK56503740"/>
    <n v="8"/>
    <s v="WINTER15"/>
    <x v="4"/>
    <n v="987.4"/>
    <n v="987.4"/>
    <x v="6"/>
    <s v="Q2"/>
    <x v="0"/>
    <s v="Pending"/>
    <s v="Yes"/>
  </r>
  <r>
    <x v="779"/>
    <d v="2023-12-01T00:00:00"/>
    <s v="C18076"/>
    <x v="1"/>
    <n v="3"/>
    <n v="588.74"/>
    <s v="751 Main St"/>
    <x v="0"/>
    <x v="4"/>
    <s v="TRK26661705"/>
    <n v="8"/>
    <s v="FREESHIP"/>
    <x v="2"/>
    <n v="1766.22"/>
    <n v="1766.22"/>
    <x v="8"/>
    <s v="Q4"/>
    <x v="0"/>
    <s v="Pending"/>
    <s v="Yes"/>
  </r>
  <r>
    <x v="780"/>
    <d v="2024-03-31T00:00:00"/>
    <s v="C41284"/>
    <x v="5"/>
    <n v="4"/>
    <n v="184.48"/>
    <s v="661 Main St"/>
    <x v="1"/>
    <x v="1"/>
    <s v="TRK73613128"/>
    <n v="4"/>
    <s v="WINTER15"/>
    <x v="4"/>
    <n v="737.92"/>
    <n v="737.92"/>
    <x v="9"/>
    <s v="Q1"/>
    <x v="0"/>
    <s v="Pending"/>
    <s v="Yes"/>
  </r>
  <r>
    <x v="781"/>
    <d v="2024-01-10T00:00:00"/>
    <s v="C43524"/>
    <x v="1"/>
    <n v="5"/>
    <n v="524.26"/>
    <s v="934 Main St"/>
    <x v="3"/>
    <x v="3"/>
    <s v="TRK51479426"/>
    <n v="5"/>
    <s v="FREESHIP"/>
    <x v="1"/>
    <n v="2621.3000000000002"/>
    <n v="2621.3000000000002"/>
    <x v="0"/>
    <s v="Q1"/>
    <x v="0"/>
    <s v="Completed"/>
    <s v="Yes"/>
  </r>
  <r>
    <x v="782"/>
    <d v="2024-08-11T00:00:00"/>
    <s v="C58063"/>
    <x v="0"/>
    <n v="2"/>
    <n v="493.63"/>
    <s v="167 Main St"/>
    <x v="1"/>
    <x v="2"/>
    <s v="TRK50548869"/>
    <n v="6"/>
    <s v="SAVE10"/>
    <x v="1"/>
    <n v="987.26"/>
    <n v="987.26"/>
    <x v="1"/>
    <s v="Q3"/>
    <x v="0"/>
    <s v="Pending"/>
    <s v="Yes"/>
  </r>
  <r>
    <x v="783"/>
    <d v="2025-05-26T00:00:00"/>
    <s v="C19937"/>
    <x v="4"/>
    <n v="1"/>
    <n v="438.34"/>
    <s v="281 Main St"/>
    <x v="3"/>
    <x v="2"/>
    <s v="TRK46990083"/>
    <n v="5"/>
    <s v="FREESHIP"/>
    <x v="3"/>
    <n v="438.34"/>
    <n v="438.34"/>
    <x v="4"/>
    <s v="Q2"/>
    <x v="1"/>
    <s v="Pending"/>
    <s v="Yes"/>
  </r>
  <r>
    <x v="784"/>
    <d v="2025-05-16T00:00:00"/>
    <s v="C21191"/>
    <x v="5"/>
    <n v="1"/>
    <n v="325.81"/>
    <s v="232 Main St"/>
    <x v="2"/>
    <x v="4"/>
    <s v="TRK85771230"/>
    <n v="1"/>
    <s v="WINTER15"/>
    <x v="1"/>
    <n v="325.81"/>
    <n v="325.81"/>
    <x v="4"/>
    <s v="Q2"/>
    <x v="1"/>
    <s v="Pending"/>
    <s v="Yes"/>
  </r>
  <r>
    <x v="785"/>
    <d v="2023-07-29T00:00:00"/>
    <s v="C45862"/>
    <x v="3"/>
    <n v="1"/>
    <n v="176.1"/>
    <s v="342 Main St"/>
    <x v="2"/>
    <x v="4"/>
    <s v="TRK53089983"/>
    <n v="1"/>
    <s v="SAVE10"/>
    <x v="0"/>
    <n v="176.1"/>
    <n v="176.1"/>
    <x v="10"/>
    <s v="Q3"/>
    <x v="1"/>
    <s v="Pending"/>
    <s v="Yes"/>
  </r>
  <r>
    <x v="786"/>
    <d v="2023-08-23T00:00:00"/>
    <s v="C39130"/>
    <x v="3"/>
    <n v="5"/>
    <n v="45.31"/>
    <s v="774 Main St"/>
    <x v="1"/>
    <x v="1"/>
    <s v="TRK99583414"/>
    <n v="8"/>
    <m/>
    <x v="1"/>
    <n v="226.55"/>
    <n v="226.55"/>
    <x v="1"/>
    <s v="Q3"/>
    <x v="1"/>
    <s v="Pending"/>
    <s v="No"/>
  </r>
  <r>
    <x v="787"/>
    <d v="2024-03-17T00:00:00"/>
    <s v="C18167"/>
    <x v="6"/>
    <n v="4"/>
    <n v="221.96"/>
    <s v="193 Main St"/>
    <x v="4"/>
    <x v="3"/>
    <s v="TRK36841089"/>
    <n v="7"/>
    <m/>
    <x v="4"/>
    <n v="887.84"/>
    <n v="887.84"/>
    <x v="9"/>
    <s v="Q1"/>
    <x v="0"/>
    <s v="Completed"/>
    <s v="No"/>
  </r>
  <r>
    <x v="788"/>
    <d v="2023-11-02T00:00:00"/>
    <s v="C47307"/>
    <x v="3"/>
    <n v="2"/>
    <n v="601.42999999999995"/>
    <s v="761 Main St"/>
    <x v="1"/>
    <x v="4"/>
    <s v="TRK43516112"/>
    <n v="5"/>
    <s v="FREESHIP"/>
    <x v="0"/>
    <n v="1202.8599999999999"/>
    <n v="1202.8599999999999"/>
    <x v="7"/>
    <s v="Q4"/>
    <x v="0"/>
    <s v="Pending"/>
    <s v="Yes"/>
  </r>
  <r>
    <x v="789"/>
    <d v="2023-08-17T00:00:00"/>
    <s v="C57276"/>
    <x v="2"/>
    <n v="5"/>
    <n v="691.28"/>
    <s v="183 Main St"/>
    <x v="1"/>
    <x v="3"/>
    <s v="TRK75899752"/>
    <n v="10"/>
    <s v="SAVE10"/>
    <x v="2"/>
    <n v="3456.4"/>
    <n v="3456.3999999999996"/>
    <x v="1"/>
    <s v="Q3"/>
    <x v="0"/>
    <s v="Completed"/>
    <s v="Yes"/>
  </r>
  <r>
    <x v="790"/>
    <d v="2024-09-14T00:00:00"/>
    <s v="C38928"/>
    <x v="5"/>
    <n v="4"/>
    <n v="417.89"/>
    <s v="302 Main St"/>
    <x v="3"/>
    <x v="4"/>
    <s v="TRK96636009"/>
    <n v="4"/>
    <m/>
    <x v="4"/>
    <n v="1671.56"/>
    <n v="1671.56"/>
    <x v="11"/>
    <s v="Q3"/>
    <x v="0"/>
    <s v="Pending"/>
    <s v="No"/>
  </r>
  <r>
    <x v="791"/>
    <d v="2024-01-13T00:00:00"/>
    <s v="C49710"/>
    <x v="3"/>
    <n v="4"/>
    <n v="409.28"/>
    <s v="956 Main St"/>
    <x v="4"/>
    <x v="4"/>
    <s v="TRK92591237"/>
    <n v="8"/>
    <m/>
    <x v="2"/>
    <n v="1637.12"/>
    <n v="1637.12"/>
    <x v="0"/>
    <s v="Q1"/>
    <x v="0"/>
    <s v="Pending"/>
    <s v="No"/>
  </r>
  <r>
    <x v="792"/>
    <d v="2023-06-16T00:00:00"/>
    <s v="C41709"/>
    <x v="6"/>
    <n v="2"/>
    <n v="356.35"/>
    <s v="746 Main St"/>
    <x v="0"/>
    <x v="2"/>
    <s v="TRK90995294"/>
    <n v="6"/>
    <s v="WINTER15"/>
    <x v="3"/>
    <n v="712.7"/>
    <n v="712.7"/>
    <x v="5"/>
    <s v="Q2"/>
    <x v="0"/>
    <s v="Pending"/>
    <s v="Yes"/>
  </r>
  <r>
    <x v="793"/>
    <d v="2024-04-15T00:00:00"/>
    <s v="C91255"/>
    <x v="3"/>
    <n v="5"/>
    <n v="170.22"/>
    <s v="769 Main St"/>
    <x v="0"/>
    <x v="3"/>
    <s v="TRK69599961"/>
    <n v="8"/>
    <m/>
    <x v="1"/>
    <n v="851.1"/>
    <n v="851.1"/>
    <x v="6"/>
    <s v="Q2"/>
    <x v="0"/>
    <s v="Completed"/>
    <s v="No"/>
  </r>
  <r>
    <x v="794"/>
    <d v="2023-03-09T00:00:00"/>
    <s v="C76653"/>
    <x v="4"/>
    <n v="4"/>
    <n v="384.85"/>
    <s v="988 Main St"/>
    <x v="1"/>
    <x v="3"/>
    <s v="TRK77052196"/>
    <n v="9"/>
    <s v="FREESHIP"/>
    <x v="0"/>
    <n v="1539.4"/>
    <n v="1539.4"/>
    <x v="9"/>
    <s v="Q1"/>
    <x v="0"/>
    <s v="Completed"/>
    <s v="Yes"/>
  </r>
  <r>
    <x v="795"/>
    <d v="2024-11-20T00:00:00"/>
    <s v="C95667"/>
    <x v="5"/>
    <n v="4"/>
    <n v="115.77"/>
    <s v="586 Main St"/>
    <x v="1"/>
    <x v="4"/>
    <s v="TRK41266666"/>
    <n v="7"/>
    <s v="SAVE10"/>
    <x v="0"/>
    <n v="463.08"/>
    <n v="463.08"/>
    <x v="7"/>
    <s v="Q4"/>
    <x v="1"/>
    <s v="Pending"/>
    <s v="Yes"/>
  </r>
  <r>
    <x v="796"/>
    <d v="2025-04-29T00:00:00"/>
    <s v="C33313"/>
    <x v="1"/>
    <n v="3"/>
    <n v="579.54999999999995"/>
    <s v="882 Main St"/>
    <x v="3"/>
    <x v="2"/>
    <s v="TRK13349970"/>
    <n v="8"/>
    <s v="WINTER15"/>
    <x v="3"/>
    <n v="1738.65"/>
    <n v="1738.6499999999999"/>
    <x v="6"/>
    <s v="Q2"/>
    <x v="0"/>
    <s v="Pending"/>
    <s v="Yes"/>
  </r>
  <r>
    <x v="797"/>
    <d v="2023-02-27T00:00:00"/>
    <s v="C36825"/>
    <x v="5"/>
    <n v="2"/>
    <n v="438.76"/>
    <s v="426 Main St"/>
    <x v="0"/>
    <x v="2"/>
    <s v="TRK72557318"/>
    <n v="2"/>
    <m/>
    <x v="3"/>
    <n v="877.52"/>
    <n v="877.52"/>
    <x v="2"/>
    <s v="Q1"/>
    <x v="0"/>
    <s v="Pending"/>
    <s v="No"/>
  </r>
  <r>
    <x v="798"/>
    <d v="2025-05-19T00:00:00"/>
    <s v="C20861"/>
    <x v="1"/>
    <n v="5"/>
    <n v="488.35"/>
    <s v="968 Main St"/>
    <x v="0"/>
    <x v="2"/>
    <s v="TRK89372013"/>
    <n v="9"/>
    <s v="FREESHIP"/>
    <x v="2"/>
    <n v="2441.75"/>
    <n v="2441.75"/>
    <x v="4"/>
    <s v="Q2"/>
    <x v="0"/>
    <s v="Pending"/>
    <s v="Yes"/>
  </r>
  <r>
    <x v="799"/>
    <d v="2023-04-16T00:00:00"/>
    <s v="C26364"/>
    <x v="5"/>
    <n v="4"/>
    <n v="328.56"/>
    <s v="803 Main St"/>
    <x v="0"/>
    <x v="2"/>
    <s v="TRK78924436"/>
    <n v="4"/>
    <s v="FREESHIP"/>
    <x v="2"/>
    <n v="1314.24"/>
    <n v="1314.24"/>
    <x v="6"/>
    <s v="Q2"/>
    <x v="0"/>
    <s v="Pending"/>
    <s v="Yes"/>
  </r>
  <r>
    <x v="800"/>
    <d v="2025-03-28T00:00:00"/>
    <s v="C34686"/>
    <x v="2"/>
    <n v="1"/>
    <n v="68.39"/>
    <s v="412 Main St"/>
    <x v="1"/>
    <x v="2"/>
    <s v="TRK99468332"/>
    <n v="3"/>
    <s v="WINTER15"/>
    <x v="3"/>
    <n v="68.39"/>
    <n v="68.39"/>
    <x v="9"/>
    <s v="Q1"/>
    <x v="2"/>
    <s v="Pending"/>
    <s v="Yes"/>
  </r>
  <r>
    <x v="801"/>
    <d v="2023-05-03T00:00:00"/>
    <s v="C97593"/>
    <x v="4"/>
    <n v="4"/>
    <n v="595.62"/>
    <s v="738 Main St"/>
    <x v="0"/>
    <x v="4"/>
    <s v="TRK58443593"/>
    <n v="8"/>
    <s v="FREESHIP"/>
    <x v="3"/>
    <n v="2382.48"/>
    <n v="2382.48"/>
    <x v="4"/>
    <s v="Q2"/>
    <x v="0"/>
    <s v="Pending"/>
    <s v="Yes"/>
  </r>
  <r>
    <x v="802"/>
    <d v="2024-02-17T00:00:00"/>
    <s v="C84331"/>
    <x v="3"/>
    <n v="5"/>
    <n v="644.64"/>
    <s v="205 Main St"/>
    <x v="3"/>
    <x v="1"/>
    <s v="TRK34440714"/>
    <n v="6"/>
    <s v="FREESHIP"/>
    <x v="2"/>
    <n v="3223.2"/>
    <n v="3223.2"/>
    <x v="2"/>
    <s v="Q1"/>
    <x v="0"/>
    <s v="Pending"/>
    <s v="Yes"/>
  </r>
  <r>
    <x v="803"/>
    <d v="2023-08-20T00:00:00"/>
    <s v="C88775"/>
    <x v="0"/>
    <n v="5"/>
    <n v="397.81"/>
    <s v="223 Main St"/>
    <x v="0"/>
    <x v="2"/>
    <s v="TRK45098068"/>
    <n v="5"/>
    <s v="SAVE10"/>
    <x v="1"/>
    <n v="1989.05"/>
    <n v="1989.05"/>
    <x v="1"/>
    <s v="Q3"/>
    <x v="0"/>
    <s v="Pending"/>
    <s v="Yes"/>
  </r>
  <r>
    <x v="804"/>
    <d v="2024-01-01T00:00:00"/>
    <s v="C76362"/>
    <x v="3"/>
    <n v="3"/>
    <n v="236.5"/>
    <s v="916 Main St"/>
    <x v="1"/>
    <x v="3"/>
    <s v="TRK11868618"/>
    <n v="8"/>
    <s v="FREESHIP"/>
    <x v="2"/>
    <n v="709.5"/>
    <n v="709.5"/>
    <x v="0"/>
    <s v="Q1"/>
    <x v="0"/>
    <s v="Completed"/>
    <s v="Yes"/>
  </r>
  <r>
    <x v="805"/>
    <d v="2024-10-15T00:00:00"/>
    <s v="C59278"/>
    <x v="5"/>
    <n v="5"/>
    <n v="472.01"/>
    <s v="178 Main St"/>
    <x v="3"/>
    <x v="1"/>
    <s v="TRK14590037"/>
    <n v="10"/>
    <s v="SAVE10"/>
    <x v="2"/>
    <n v="2360.0500000000002"/>
    <n v="2360.0500000000002"/>
    <x v="3"/>
    <s v="Q4"/>
    <x v="0"/>
    <s v="Pending"/>
    <s v="Yes"/>
  </r>
  <r>
    <x v="806"/>
    <d v="2023-09-01T00:00:00"/>
    <s v="C55819"/>
    <x v="3"/>
    <n v="5"/>
    <n v="253.75"/>
    <s v="740 Main St"/>
    <x v="1"/>
    <x v="4"/>
    <s v="TRK13775054"/>
    <n v="9"/>
    <s v="WINTER15"/>
    <x v="0"/>
    <n v="1268.75"/>
    <n v="1268.75"/>
    <x v="11"/>
    <s v="Q3"/>
    <x v="0"/>
    <s v="Pending"/>
    <s v="Yes"/>
  </r>
  <r>
    <x v="807"/>
    <d v="2024-11-10T00:00:00"/>
    <s v="C82344"/>
    <x v="0"/>
    <n v="3"/>
    <n v="676.21"/>
    <s v="260 Main St"/>
    <x v="1"/>
    <x v="3"/>
    <s v="TRK70957219"/>
    <n v="5"/>
    <s v="SAVE10"/>
    <x v="4"/>
    <n v="2028.63"/>
    <n v="2028.63"/>
    <x v="7"/>
    <s v="Q4"/>
    <x v="0"/>
    <s v="Completed"/>
    <s v="Yes"/>
  </r>
  <r>
    <x v="808"/>
    <d v="2024-02-13T00:00:00"/>
    <s v="C65565"/>
    <x v="6"/>
    <n v="3"/>
    <n v="134.05000000000001"/>
    <s v="192 Main St"/>
    <x v="2"/>
    <x v="0"/>
    <s v="TRK80383756"/>
    <n v="3"/>
    <m/>
    <x v="4"/>
    <n v="402.15"/>
    <n v="402.15000000000003"/>
    <x v="2"/>
    <s v="Q1"/>
    <x v="1"/>
    <s v="Pending"/>
    <s v="No"/>
  </r>
  <r>
    <x v="809"/>
    <d v="2024-04-09T00:00:00"/>
    <s v="C80416"/>
    <x v="6"/>
    <n v="5"/>
    <n v="217.43"/>
    <s v="752 Main St"/>
    <x v="0"/>
    <x v="0"/>
    <s v="TRK54385892"/>
    <n v="10"/>
    <s v="SAVE10"/>
    <x v="0"/>
    <n v="1087.1500000000001"/>
    <n v="1087.1500000000001"/>
    <x v="6"/>
    <s v="Q2"/>
    <x v="0"/>
    <s v="Pending"/>
    <s v="Yes"/>
  </r>
  <r>
    <x v="810"/>
    <d v="2023-05-31T00:00:00"/>
    <s v="C23637"/>
    <x v="2"/>
    <n v="1"/>
    <n v="553.55999999999995"/>
    <s v="644 Main St"/>
    <x v="2"/>
    <x v="1"/>
    <s v="TRK16749863"/>
    <n v="5"/>
    <m/>
    <x v="1"/>
    <n v="553.55999999999995"/>
    <n v="553.55999999999995"/>
    <x v="4"/>
    <s v="Q2"/>
    <x v="0"/>
    <s v="Pending"/>
    <s v="No"/>
  </r>
  <r>
    <x v="811"/>
    <d v="2023-11-05T00:00:00"/>
    <s v="C24769"/>
    <x v="5"/>
    <n v="2"/>
    <n v="28.55"/>
    <s v="864 Main St"/>
    <x v="3"/>
    <x v="0"/>
    <s v="TRK44538305"/>
    <n v="7"/>
    <s v="SAVE10"/>
    <x v="2"/>
    <n v="57.1"/>
    <n v="57.1"/>
    <x v="7"/>
    <s v="Q4"/>
    <x v="2"/>
    <s v="Pending"/>
    <s v="Yes"/>
  </r>
  <r>
    <x v="812"/>
    <d v="2024-01-26T00:00:00"/>
    <s v="C81547"/>
    <x v="1"/>
    <n v="2"/>
    <n v="255.26"/>
    <s v="803 Main St"/>
    <x v="2"/>
    <x v="1"/>
    <s v="TRK88437123"/>
    <n v="6"/>
    <s v="FREESHIP"/>
    <x v="4"/>
    <n v="510.52"/>
    <n v="510.52"/>
    <x v="0"/>
    <s v="Q1"/>
    <x v="0"/>
    <s v="Pending"/>
    <s v="Yes"/>
  </r>
  <r>
    <x v="813"/>
    <d v="2025-03-15T00:00:00"/>
    <s v="C12813"/>
    <x v="5"/>
    <n v="5"/>
    <n v="292.54000000000002"/>
    <s v="263 Main St"/>
    <x v="0"/>
    <x v="1"/>
    <s v="TRK36131660"/>
    <n v="8"/>
    <s v="FREESHIP"/>
    <x v="2"/>
    <n v="1462.7"/>
    <n v="1462.7"/>
    <x v="9"/>
    <s v="Q1"/>
    <x v="0"/>
    <s v="Pending"/>
    <s v="Yes"/>
  </r>
  <r>
    <x v="814"/>
    <d v="2024-12-11T00:00:00"/>
    <s v="C50732"/>
    <x v="3"/>
    <n v="4"/>
    <n v="147.51"/>
    <s v="979 Main St"/>
    <x v="0"/>
    <x v="4"/>
    <s v="TRK21082461"/>
    <n v="4"/>
    <s v="WINTER15"/>
    <x v="0"/>
    <n v="590.04"/>
    <n v="590.04"/>
    <x v="8"/>
    <s v="Q4"/>
    <x v="0"/>
    <s v="Pending"/>
    <s v="Yes"/>
  </r>
  <r>
    <x v="815"/>
    <d v="2024-08-04T00:00:00"/>
    <s v="C41320"/>
    <x v="4"/>
    <n v="3"/>
    <n v="569.84"/>
    <s v="920 Main St"/>
    <x v="3"/>
    <x v="1"/>
    <s v="TRK77539180"/>
    <n v="8"/>
    <s v="WINTER15"/>
    <x v="0"/>
    <n v="1709.52"/>
    <n v="1709.52"/>
    <x v="1"/>
    <s v="Q3"/>
    <x v="0"/>
    <s v="Pending"/>
    <s v="Yes"/>
  </r>
  <r>
    <x v="816"/>
    <d v="2024-02-21T00:00:00"/>
    <s v="C55286"/>
    <x v="2"/>
    <n v="5"/>
    <n v="574.79"/>
    <s v="497 Main St"/>
    <x v="2"/>
    <x v="4"/>
    <s v="TRK39058734"/>
    <n v="8"/>
    <s v="WINTER15"/>
    <x v="1"/>
    <n v="2873.95"/>
    <n v="2873.95"/>
    <x v="2"/>
    <s v="Q1"/>
    <x v="0"/>
    <s v="Pending"/>
    <s v="Yes"/>
  </r>
  <r>
    <x v="817"/>
    <d v="2023-10-05T00:00:00"/>
    <s v="C87994"/>
    <x v="3"/>
    <n v="4"/>
    <n v="598.19000000000005"/>
    <s v="430 Main St"/>
    <x v="2"/>
    <x v="3"/>
    <s v="TRK98883971"/>
    <n v="7"/>
    <s v="WINTER15"/>
    <x v="2"/>
    <n v="2392.7600000000002"/>
    <n v="2392.7600000000002"/>
    <x v="3"/>
    <s v="Q4"/>
    <x v="0"/>
    <s v="Completed"/>
    <s v="Yes"/>
  </r>
  <r>
    <x v="818"/>
    <d v="2023-03-02T00:00:00"/>
    <s v="C25580"/>
    <x v="1"/>
    <n v="4"/>
    <n v="390.84"/>
    <s v="860 Main St"/>
    <x v="2"/>
    <x v="1"/>
    <s v="TRK58781638"/>
    <n v="9"/>
    <s v="WINTER15"/>
    <x v="1"/>
    <n v="1563.36"/>
    <n v="1563.36"/>
    <x v="9"/>
    <s v="Q1"/>
    <x v="0"/>
    <s v="Pending"/>
    <s v="Yes"/>
  </r>
  <r>
    <x v="819"/>
    <d v="2024-09-28T00:00:00"/>
    <s v="C66196"/>
    <x v="1"/>
    <n v="2"/>
    <n v="398.45"/>
    <s v="650 Main St"/>
    <x v="0"/>
    <x v="1"/>
    <s v="TRK38104650"/>
    <n v="7"/>
    <s v="SAVE10"/>
    <x v="4"/>
    <n v="796.9"/>
    <n v="796.9"/>
    <x v="11"/>
    <s v="Q3"/>
    <x v="0"/>
    <s v="Pending"/>
    <s v="Yes"/>
  </r>
  <r>
    <x v="820"/>
    <d v="2023-05-27T00:00:00"/>
    <s v="C35377"/>
    <x v="1"/>
    <n v="5"/>
    <n v="623.80999999999995"/>
    <s v="171 Main St"/>
    <x v="4"/>
    <x v="2"/>
    <s v="TRK17342157"/>
    <n v="6"/>
    <s v="FREESHIP"/>
    <x v="2"/>
    <n v="3119.05"/>
    <n v="3119.0499999999997"/>
    <x v="4"/>
    <s v="Q2"/>
    <x v="0"/>
    <s v="Pending"/>
    <s v="Yes"/>
  </r>
  <r>
    <x v="821"/>
    <d v="2024-12-14T00:00:00"/>
    <s v="C40771"/>
    <x v="5"/>
    <n v="4"/>
    <n v="174.49"/>
    <s v="259 Main St"/>
    <x v="2"/>
    <x v="3"/>
    <s v="TRK56310345"/>
    <n v="5"/>
    <s v="SAVE10"/>
    <x v="3"/>
    <n v="697.96"/>
    <n v="697.96"/>
    <x v="8"/>
    <s v="Q4"/>
    <x v="0"/>
    <s v="Completed"/>
    <s v="Yes"/>
  </r>
  <r>
    <x v="822"/>
    <d v="2025-03-15T00:00:00"/>
    <s v="C20624"/>
    <x v="1"/>
    <n v="1"/>
    <n v="479.56"/>
    <s v="923 Main St"/>
    <x v="3"/>
    <x v="2"/>
    <s v="TRK45123395"/>
    <n v="1"/>
    <s v="SAVE10"/>
    <x v="4"/>
    <n v="479.56"/>
    <n v="479.56"/>
    <x v="9"/>
    <s v="Q1"/>
    <x v="1"/>
    <s v="Pending"/>
    <s v="Yes"/>
  </r>
  <r>
    <x v="823"/>
    <d v="2024-10-07T00:00:00"/>
    <s v="C27070"/>
    <x v="5"/>
    <n v="4"/>
    <n v="653.13"/>
    <s v="973 Main St"/>
    <x v="2"/>
    <x v="0"/>
    <s v="TRK83842481"/>
    <n v="8"/>
    <s v="WINTER15"/>
    <x v="0"/>
    <n v="2612.52"/>
    <n v="2612.52"/>
    <x v="3"/>
    <s v="Q4"/>
    <x v="0"/>
    <s v="Pending"/>
    <s v="Yes"/>
  </r>
  <r>
    <x v="824"/>
    <d v="2023-08-29T00:00:00"/>
    <s v="C18826"/>
    <x v="0"/>
    <n v="3"/>
    <n v="481.1"/>
    <s v="664 Main St"/>
    <x v="2"/>
    <x v="2"/>
    <s v="TRK12530495"/>
    <n v="3"/>
    <s v="FREESHIP"/>
    <x v="3"/>
    <n v="1443.3"/>
    <n v="1443.3000000000002"/>
    <x v="1"/>
    <s v="Q3"/>
    <x v="0"/>
    <s v="Pending"/>
    <s v="Yes"/>
  </r>
  <r>
    <x v="825"/>
    <d v="2025-03-26T00:00:00"/>
    <s v="C23899"/>
    <x v="6"/>
    <n v="5"/>
    <n v="271.69"/>
    <s v="543 Main St"/>
    <x v="1"/>
    <x v="2"/>
    <s v="TRK88914760"/>
    <n v="7"/>
    <s v="FREESHIP"/>
    <x v="0"/>
    <n v="1358.45"/>
    <n v="1358.45"/>
    <x v="9"/>
    <s v="Q1"/>
    <x v="0"/>
    <s v="Pending"/>
    <s v="Yes"/>
  </r>
  <r>
    <x v="826"/>
    <d v="2025-03-08T00:00:00"/>
    <s v="C43249"/>
    <x v="4"/>
    <n v="3"/>
    <n v="463.81"/>
    <s v="283 Main St"/>
    <x v="1"/>
    <x v="2"/>
    <s v="TRK32469820"/>
    <n v="8"/>
    <s v="WINTER15"/>
    <x v="2"/>
    <n v="1391.43"/>
    <n v="1391.43"/>
    <x v="9"/>
    <s v="Q1"/>
    <x v="0"/>
    <s v="Pending"/>
    <s v="Yes"/>
  </r>
  <r>
    <x v="827"/>
    <d v="2023-05-25T00:00:00"/>
    <s v="C95856"/>
    <x v="2"/>
    <n v="2"/>
    <n v="639.88"/>
    <s v="432 Main St"/>
    <x v="4"/>
    <x v="3"/>
    <s v="TRK58829625"/>
    <n v="5"/>
    <s v="WINTER15"/>
    <x v="0"/>
    <n v="1279.76"/>
    <n v="1279.76"/>
    <x v="4"/>
    <s v="Q2"/>
    <x v="0"/>
    <s v="Completed"/>
    <s v="Yes"/>
  </r>
  <r>
    <x v="828"/>
    <d v="2024-07-24T00:00:00"/>
    <s v="C86266"/>
    <x v="3"/>
    <n v="4"/>
    <n v="404.58"/>
    <s v="510 Main St"/>
    <x v="4"/>
    <x v="0"/>
    <s v="TRK64576020"/>
    <n v="5"/>
    <s v="FREESHIP"/>
    <x v="0"/>
    <n v="1618.32"/>
    <n v="1618.32"/>
    <x v="10"/>
    <s v="Q3"/>
    <x v="0"/>
    <s v="Pending"/>
    <s v="Yes"/>
  </r>
  <r>
    <x v="829"/>
    <d v="2023-02-05T00:00:00"/>
    <s v="C39551"/>
    <x v="0"/>
    <n v="1"/>
    <n v="76.930000000000007"/>
    <s v="685 Main St"/>
    <x v="0"/>
    <x v="3"/>
    <s v="TRK68358007"/>
    <n v="6"/>
    <s v="WINTER15"/>
    <x v="0"/>
    <n v="76.930000000000007"/>
    <n v="76.930000000000007"/>
    <x v="2"/>
    <s v="Q1"/>
    <x v="2"/>
    <s v="Completed"/>
    <s v="Yes"/>
  </r>
  <r>
    <x v="830"/>
    <d v="2024-12-11T00:00:00"/>
    <s v="C90310"/>
    <x v="2"/>
    <n v="4"/>
    <n v="190.64"/>
    <s v="853 Main St"/>
    <x v="4"/>
    <x v="3"/>
    <s v="TRK70028457"/>
    <n v="5"/>
    <s v="SAVE10"/>
    <x v="2"/>
    <n v="762.56"/>
    <n v="762.56"/>
    <x v="8"/>
    <s v="Q4"/>
    <x v="0"/>
    <s v="Completed"/>
    <s v="Yes"/>
  </r>
  <r>
    <x v="831"/>
    <d v="2023-12-18T00:00:00"/>
    <s v="C20124"/>
    <x v="4"/>
    <n v="2"/>
    <n v="88.73"/>
    <s v="140 Main St"/>
    <x v="1"/>
    <x v="4"/>
    <s v="TRK61346824"/>
    <n v="5"/>
    <m/>
    <x v="4"/>
    <n v="177.46"/>
    <n v="177.46"/>
    <x v="8"/>
    <s v="Q4"/>
    <x v="1"/>
    <s v="Pending"/>
    <s v="No"/>
  </r>
  <r>
    <x v="832"/>
    <d v="2024-03-12T00:00:00"/>
    <s v="C63372"/>
    <x v="3"/>
    <n v="5"/>
    <n v="485.71"/>
    <s v="903 Main St"/>
    <x v="1"/>
    <x v="4"/>
    <s v="TRK14661811"/>
    <n v="10"/>
    <s v="SAVE10"/>
    <x v="1"/>
    <n v="2428.5500000000002"/>
    <n v="2428.5499999999997"/>
    <x v="9"/>
    <s v="Q1"/>
    <x v="0"/>
    <s v="Pending"/>
    <s v="Yes"/>
  </r>
  <r>
    <x v="833"/>
    <d v="2025-03-14T00:00:00"/>
    <s v="C90595"/>
    <x v="1"/>
    <n v="5"/>
    <n v="78.290000000000006"/>
    <s v="508 Main St"/>
    <x v="2"/>
    <x v="0"/>
    <s v="TRK96573803"/>
    <n v="5"/>
    <s v="WINTER15"/>
    <x v="1"/>
    <n v="391.45"/>
    <n v="391.45000000000005"/>
    <x v="9"/>
    <s v="Q1"/>
    <x v="1"/>
    <s v="Pending"/>
    <s v="Yes"/>
  </r>
  <r>
    <x v="834"/>
    <d v="2024-04-11T00:00:00"/>
    <s v="C98483"/>
    <x v="4"/>
    <n v="5"/>
    <n v="22.14"/>
    <s v="456 Main St"/>
    <x v="4"/>
    <x v="2"/>
    <s v="TRK22084320"/>
    <n v="10"/>
    <m/>
    <x v="0"/>
    <n v="110.7"/>
    <n v="110.7"/>
    <x v="6"/>
    <s v="Q2"/>
    <x v="1"/>
    <s v="Pending"/>
    <s v="No"/>
  </r>
  <r>
    <x v="835"/>
    <d v="2024-03-26T00:00:00"/>
    <s v="C16429"/>
    <x v="6"/>
    <n v="1"/>
    <n v="679.65"/>
    <s v="390 Main St"/>
    <x v="0"/>
    <x v="0"/>
    <s v="TRK73888013"/>
    <n v="6"/>
    <s v="FREESHIP"/>
    <x v="4"/>
    <n v="679.65"/>
    <n v="679.65"/>
    <x v="9"/>
    <s v="Q1"/>
    <x v="0"/>
    <s v="Pending"/>
    <s v="Yes"/>
  </r>
  <r>
    <x v="836"/>
    <d v="2023-02-02T00:00:00"/>
    <s v="C31810"/>
    <x v="1"/>
    <n v="1"/>
    <n v="178.44"/>
    <s v="328 Main St"/>
    <x v="2"/>
    <x v="1"/>
    <s v="TRK58725886"/>
    <n v="2"/>
    <s v="FREESHIP"/>
    <x v="4"/>
    <n v="178.44"/>
    <n v="178.44"/>
    <x v="2"/>
    <s v="Q1"/>
    <x v="1"/>
    <s v="Pending"/>
    <s v="Yes"/>
  </r>
  <r>
    <x v="837"/>
    <d v="2025-06-14T00:00:00"/>
    <s v="C88029"/>
    <x v="3"/>
    <n v="5"/>
    <n v="655.55"/>
    <s v="282 Main St"/>
    <x v="1"/>
    <x v="3"/>
    <s v="TRK59701278"/>
    <n v="5"/>
    <m/>
    <x v="2"/>
    <n v="3277.75"/>
    <n v="3277.75"/>
    <x v="5"/>
    <s v="Q2"/>
    <x v="0"/>
    <s v="Completed"/>
    <s v="No"/>
  </r>
  <r>
    <x v="838"/>
    <d v="2024-04-11T00:00:00"/>
    <s v="C57798"/>
    <x v="6"/>
    <n v="4"/>
    <n v="577.08000000000004"/>
    <s v="384 Main St"/>
    <x v="1"/>
    <x v="4"/>
    <s v="TRK68797566"/>
    <n v="8"/>
    <m/>
    <x v="3"/>
    <n v="2308.3200000000002"/>
    <n v="2308.3200000000002"/>
    <x v="6"/>
    <s v="Q2"/>
    <x v="0"/>
    <s v="Pending"/>
    <s v="No"/>
  </r>
  <r>
    <x v="839"/>
    <d v="2023-08-24T00:00:00"/>
    <s v="C82858"/>
    <x v="3"/>
    <n v="3"/>
    <n v="197.97"/>
    <s v="551 Main St"/>
    <x v="1"/>
    <x v="1"/>
    <s v="TRK90618490"/>
    <n v="5"/>
    <m/>
    <x v="4"/>
    <n v="593.91"/>
    <n v="593.91"/>
    <x v="1"/>
    <s v="Q3"/>
    <x v="0"/>
    <s v="Pending"/>
    <s v="No"/>
  </r>
  <r>
    <x v="840"/>
    <d v="2024-01-14T00:00:00"/>
    <s v="C60699"/>
    <x v="3"/>
    <n v="3"/>
    <n v="411.95"/>
    <s v="672 Main St"/>
    <x v="2"/>
    <x v="3"/>
    <s v="TRK88660574"/>
    <n v="7"/>
    <s v="FREESHIP"/>
    <x v="1"/>
    <n v="1235.8499999999999"/>
    <n v="1235.8499999999999"/>
    <x v="0"/>
    <s v="Q1"/>
    <x v="0"/>
    <s v="Completed"/>
    <s v="Yes"/>
  </r>
  <r>
    <x v="841"/>
    <d v="2024-09-19T00:00:00"/>
    <s v="C94658"/>
    <x v="4"/>
    <n v="2"/>
    <n v="443.22"/>
    <s v="742 Main St"/>
    <x v="2"/>
    <x v="3"/>
    <s v="TRK51732528"/>
    <n v="5"/>
    <m/>
    <x v="3"/>
    <n v="886.44"/>
    <n v="886.44"/>
    <x v="11"/>
    <s v="Q3"/>
    <x v="0"/>
    <s v="Completed"/>
    <s v="No"/>
  </r>
  <r>
    <x v="842"/>
    <d v="2025-05-07T00:00:00"/>
    <s v="C78305"/>
    <x v="5"/>
    <n v="3"/>
    <n v="364.14"/>
    <s v="396 Main St"/>
    <x v="1"/>
    <x v="4"/>
    <s v="TRK88312618"/>
    <n v="7"/>
    <s v="WINTER15"/>
    <x v="1"/>
    <n v="1092.42"/>
    <n v="1092.42"/>
    <x v="4"/>
    <s v="Q2"/>
    <x v="0"/>
    <s v="Pending"/>
    <s v="Yes"/>
  </r>
  <r>
    <x v="843"/>
    <d v="2025-05-13T00:00:00"/>
    <s v="C43538"/>
    <x v="6"/>
    <n v="3"/>
    <n v="430.06"/>
    <s v="534 Main St"/>
    <x v="3"/>
    <x v="1"/>
    <s v="TRK20961563"/>
    <n v="8"/>
    <s v="FREESHIP"/>
    <x v="0"/>
    <n v="1290.18"/>
    <n v="1290.18"/>
    <x v="4"/>
    <s v="Q2"/>
    <x v="0"/>
    <s v="Pending"/>
    <s v="Yes"/>
  </r>
  <r>
    <x v="844"/>
    <d v="2024-12-04T00:00:00"/>
    <s v="C47486"/>
    <x v="3"/>
    <n v="1"/>
    <n v="320.92"/>
    <s v="883 Main St"/>
    <x v="1"/>
    <x v="2"/>
    <s v="TRK75984759"/>
    <n v="5"/>
    <s v="FREESHIP"/>
    <x v="3"/>
    <n v="320.92"/>
    <n v="320.92"/>
    <x v="8"/>
    <s v="Q4"/>
    <x v="1"/>
    <s v="Pending"/>
    <s v="Yes"/>
  </r>
  <r>
    <x v="845"/>
    <d v="2023-10-08T00:00:00"/>
    <s v="C24212"/>
    <x v="1"/>
    <n v="3"/>
    <n v="107.36"/>
    <s v="808 Main St"/>
    <x v="3"/>
    <x v="3"/>
    <s v="TRK68894675"/>
    <n v="5"/>
    <s v="FREESHIP"/>
    <x v="4"/>
    <n v="322.08"/>
    <n v="322.08"/>
    <x v="3"/>
    <s v="Q4"/>
    <x v="1"/>
    <s v="Completed"/>
    <s v="Yes"/>
  </r>
  <r>
    <x v="846"/>
    <d v="2024-07-04T00:00:00"/>
    <s v="C24765"/>
    <x v="6"/>
    <n v="2"/>
    <n v="359.86"/>
    <s v="646 Main St"/>
    <x v="0"/>
    <x v="1"/>
    <s v="TRK43977698"/>
    <n v="4"/>
    <m/>
    <x v="1"/>
    <n v="719.72"/>
    <n v="719.72"/>
    <x v="10"/>
    <s v="Q3"/>
    <x v="0"/>
    <s v="Pending"/>
    <s v="No"/>
  </r>
  <r>
    <x v="847"/>
    <d v="2024-11-18T00:00:00"/>
    <s v="C48176"/>
    <x v="4"/>
    <n v="4"/>
    <n v="434.23"/>
    <s v="670 Main St"/>
    <x v="1"/>
    <x v="0"/>
    <s v="TRK90560300"/>
    <n v="8"/>
    <s v="FREESHIP"/>
    <x v="2"/>
    <n v="1736.92"/>
    <n v="1736.92"/>
    <x v="7"/>
    <s v="Q4"/>
    <x v="0"/>
    <s v="Pending"/>
    <s v="Yes"/>
  </r>
  <r>
    <x v="848"/>
    <d v="2023-01-01T00:00:00"/>
    <s v="C54675"/>
    <x v="3"/>
    <n v="2"/>
    <n v="645.85"/>
    <s v="634 Main St"/>
    <x v="1"/>
    <x v="0"/>
    <s v="TRK18049633"/>
    <n v="5"/>
    <m/>
    <x v="1"/>
    <n v="1291.7"/>
    <n v="1291.7"/>
    <x v="0"/>
    <s v="Q1"/>
    <x v="0"/>
    <s v="Pending"/>
    <s v="No"/>
  </r>
  <r>
    <x v="849"/>
    <d v="2025-06-09T00:00:00"/>
    <s v="C16675"/>
    <x v="4"/>
    <n v="4"/>
    <n v="214.35"/>
    <s v="664 Main St"/>
    <x v="0"/>
    <x v="1"/>
    <s v="TRK12756945"/>
    <n v="7"/>
    <s v="WINTER15"/>
    <x v="1"/>
    <n v="857.4"/>
    <n v="857.4"/>
    <x v="5"/>
    <s v="Q2"/>
    <x v="0"/>
    <s v="Pending"/>
    <s v="Yes"/>
  </r>
  <r>
    <x v="850"/>
    <d v="2025-04-27T00:00:00"/>
    <s v="C38557"/>
    <x v="0"/>
    <n v="3"/>
    <n v="638.5"/>
    <s v="890 Main St"/>
    <x v="0"/>
    <x v="1"/>
    <s v="TRK14832238"/>
    <n v="4"/>
    <s v="FREESHIP"/>
    <x v="0"/>
    <n v="1915.5"/>
    <n v="1915.5"/>
    <x v="6"/>
    <s v="Q2"/>
    <x v="0"/>
    <s v="Pending"/>
    <s v="Yes"/>
  </r>
  <r>
    <x v="851"/>
    <d v="2023-12-12T00:00:00"/>
    <s v="C80183"/>
    <x v="5"/>
    <n v="1"/>
    <n v="365.57"/>
    <s v="146 Main St"/>
    <x v="1"/>
    <x v="1"/>
    <s v="TRK20814598"/>
    <n v="5"/>
    <s v="SAVE10"/>
    <x v="2"/>
    <n v="365.57"/>
    <n v="365.57"/>
    <x v="8"/>
    <s v="Q4"/>
    <x v="1"/>
    <s v="Pending"/>
    <s v="Yes"/>
  </r>
  <r>
    <x v="852"/>
    <d v="2024-10-24T00:00:00"/>
    <s v="C39530"/>
    <x v="6"/>
    <n v="3"/>
    <n v="568.04999999999995"/>
    <s v="618 Main St"/>
    <x v="3"/>
    <x v="4"/>
    <s v="TRK69000497"/>
    <n v="6"/>
    <s v="SAVE10"/>
    <x v="4"/>
    <n v="1704.15"/>
    <n v="1704.1499999999999"/>
    <x v="3"/>
    <s v="Q4"/>
    <x v="0"/>
    <s v="Pending"/>
    <s v="Yes"/>
  </r>
  <r>
    <x v="853"/>
    <d v="2023-10-16T00:00:00"/>
    <s v="C10002"/>
    <x v="4"/>
    <n v="3"/>
    <n v="490.01"/>
    <s v="894 Main St"/>
    <x v="4"/>
    <x v="2"/>
    <s v="TRK94641152"/>
    <n v="4"/>
    <s v="SAVE10"/>
    <x v="3"/>
    <n v="1470.03"/>
    <n v="1470.03"/>
    <x v="3"/>
    <s v="Q4"/>
    <x v="0"/>
    <s v="Pending"/>
    <s v="Yes"/>
  </r>
  <r>
    <x v="854"/>
    <d v="2025-06-13T00:00:00"/>
    <s v="C56938"/>
    <x v="5"/>
    <n v="3"/>
    <n v="372.6"/>
    <s v="356 Main St"/>
    <x v="2"/>
    <x v="3"/>
    <s v="TRK67735987"/>
    <n v="7"/>
    <s v="WINTER15"/>
    <x v="1"/>
    <n v="1117.8"/>
    <n v="1117.8000000000002"/>
    <x v="5"/>
    <s v="Q2"/>
    <x v="0"/>
    <s v="Completed"/>
    <s v="Yes"/>
  </r>
  <r>
    <x v="855"/>
    <d v="2023-05-25T00:00:00"/>
    <s v="C41331"/>
    <x v="0"/>
    <n v="5"/>
    <n v="240.61"/>
    <s v="785 Main St"/>
    <x v="2"/>
    <x v="0"/>
    <s v="TRK94198179"/>
    <n v="10"/>
    <s v="FREESHIP"/>
    <x v="2"/>
    <n v="1203.05"/>
    <n v="1203.0500000000002"/>
    <x v="4"/>
    <s v="Q2"/>
    <x v="0"/>
    <s v="Pending"/>
    <s v="Yes"/>
  </r>
  <r>
    <x v="856"/>
    <d v="2024-06-03T00:00:00"/>
    <s v="C94698"/>
    <x v="1"/>
    <n v="1"/>
    <n v="586.62"/>
    <s v="871 Main St"/>
    <x v="0"/>
    <x v="0"/>
    <s v="TRK95768773"/>
    <n v="5"/>
    <m/>
    <x v="3"/>
    <n v="586.62"/>
    <n v="586.62"/>
    <x v="5"/>
    <s v="Q2"/>
    <x v="0"/>
    <s v="Pending"/>
    <s v="No"/>
  </r>
  <r>
    <x v="857"/>
    <d v="2024-03-10T00:00:00"/>
    <s v="C56506"/>
    <x v="1"/>
    <n v="3"/>
    <n v="257.83999999999997"/>
    <s v="185 Main St"/>
    <x v="1"/>
    <x v="3"/>
    <s v="TRK86808324"/>
    <n v="4"/>
    <m/>
    <x v="0"/>
    <n v="773.52"/>
    <n v="773.52"/>
    <x v="9"/>
    <s v="Q1"/>
    <x v="0"/>
    <s v="Completed"/>
    <s v="No"/>
  </r>
  <r>
    <x v="858"/>
    <d v="2023-08-20T00:00:00"/>
    <s v="C22167"/>
    <x v="2"/>
    <n v="5"/>
    <n v="435.66"/>
    <s v="891 Main St"/>
    <x v="1"/>
    <x v="4"/>
    <s v="TRK70269748"/>
    <n v="9"/>
    <m/>
    <x v="3"/>
    <n v="2178.3000000000002"/>
    <n v="2178.3000000000002"/>
    <x v="1"/>
    <s v="Q3"/>
    <x v="0"/>
    <s v="Pending"/>
    <s v="No"/>
  </r>
  <r>
    <x v="859"/>
    <d v="2024-08-28T00:00:00"/>
    <s v="C11127"/>
    <x v="3"/>
    <n v="5"/>
    <n v="261.33"/>
    <s v="154 Main St"/>
    <x v="2"/>
    <x v="2"/>
    <s v="TRK73285507"/>
    <n v="5"/>
    <s v="SAVE10"/>
    <x v="1"/>
    <n v="1306.6500000000001"/>
    <n v="1306.6499999999999"/>
    <x v="1"/>
    <s v="Q3"/>
    <x v="0"/>
    <s v="Pending"/>
    <s v="Yes"/>
  </r>
  <r>
    <x v="860"/>
    <d v="2024-01-23T00:00:00"/>
    <s v="C69542"/>
    <x v="4"/>
    <n v="1"/>
    <n v="422.54"/>
    <s v="876 Main St"/>
    <x v="4"/>
    <x v="3"/>
    <s v="TRK20746505"/>
    <n v="1"/>
    <s v="SAVE10"/>
    <x v="4"/>
    <n v="422.54"/>
    <n v="422.54"/>
    <x v="0"/>
    <s v="Q1"/>
    <x v="1"/>
    <s v="Completed"/>
    <s v="Yes"/>
  </r>
  <r>
    <x v="861"/>
    <d v="2023-03-19T00:00:00"/>
    <s v="C93276"/>
    <x v="6"/>
    <n v="5"/>
    <n v="330.45"/>
    <s v="230 Main St"/>
    <x v="3"/>
    <x v="0"/>
    <s v="TRK44165913"/>
    <n v="10"/>
    <s v="FREESHIP"/>
    <x v="4"/>
    <n v="1652.25"/>
    <n v="1652.25"/>
    <x v="9"/>
    <s v="Q1"/>
    <x v="0"/>
    <s v="Pending"/>
    <s v="Yes"/>
  </r>
  <r>
    <x v="862"/>
    <d v="2023-12-02T00:00:00"/>
    <s v="C37969"/>
    <x v="6"/>
    <n v="3"/>
    <n v="120.82"/>
    <s v="799 Main St"/>
    <x v="2"/>
    <x v="0"/>
    <s v="TRK69852386"/>
    <n v="5"/>
    <s v="SAVE10"/>
    <x v="1"/>
    <n v="362.46"/>
    <n v="362.46"/>
    <x v="8"/>
    <s v="Q4"/>
    <x v="1"/>
    <s v="Pending"/>
    <s v="Yes"/>
  </r>
  <r>
    <x v="863"/>
    <d v="2024-05-20T00:00:00"/>
    <s v="C98276"/>
    <x v="1"/>
    <n v="1"/>
    <n v="14.06"/>
    <s v="471 Main St"/>
    <x v="2"/>
    <x v="4"/>
    <s v="TRK74207282"/>
    <n v="5"/>
    <s v="SAVE10"/>
    <x v="1"/>
    <n v="14.06"/>
    <n v="14.06"/>
    <x v="4"/>
    <s v="Q2"/>
    <x v="2"/>
    <s v="Pending"/>
    <s v="Yes"/>
  </r>
  <r>
    <x v="864"/>
    <d v="2023-05-03T00:00:00"/>
    <s v="C14240"/>
    <x v="6"/>
    <n v="1"/>
    <n v="491.11"/>
    <s v="592 Main St"/>
    <x v="2"/>
    <x v="3"/>
    <s v="TRK58095246"/>
    <n v="4"/>
    <s v="SAVE10"/>
    <x v="3"/>
    <n v="491.11"/>
    <n v="491.11"/>
    <x v="4"/>
    <s v="Q2"/>
    <x v="1"/>
    <s v="Completed"/>
    <s v="Yes"/>
  </r>
  <r>
    <x v="865"/>
    <d v="2023-04-30T00:00:00"/>
    <s v="C72241"/>
    <x v="0"/>
    <n v="4"/>
    <n v="677.37"/>
    <s v="156 Main St"/>
    <x v="4"/>
    <x v="4"/>
    <s v="TRK76270481"/>
    <n v="8"/>
    <s v="SAVE10"/>
    <x v="4"/>
    <n v="2709.48"/>
    <n v="2709.48"/>
    <x v="6"/>
    <s v="Q2"/>
    <x v="0"/>
    <s v="Pending"/>
    <s v="Yes"/>
  </r>
  <r>
    <x v="866"/>
    <d v="2024-07-26T00:00:00"/>
    <s v="C39664"/>
    <x v="6"/>
    <n v="5"/>
    <n v="189.25"/>
    <s v="693 Main St"/>
    <x v="0"/>
    <x v="1"/>
    <s v="TRK39917741"/>
    <n v="10"/>
    <s v="WINTER15"/>
    <x v="2"/>
    <n v="946.25"/>
    <n v="946.25"/>
    <x v="10"/>
    <s v="Q3"/>
    <x v="0"/>
    <s v="Pending"/>
    <s v="Yes"/>
  </r>
  <r>
    <x v="867"/>
    <d v="2024-05-26T00:00:00"/>
    <s v="C53252"/>
    <x v="4"/>
    <n v="4"/>
    <n v="142.58000000000001"/>
    <s v="351 Main St"/>
    <x v="4"/>
    <x v="3"/>
    <s v="TRK65831261"/>
    <n v="4"/>
    <s v="FREESHIP"/>
    <x v="3"/>
    <n v="570.32000000000005"/>
    <n v="570.32000000000005"/>
    <x v="4"/>
    <s v="Q2"/>
    <x v="0"/>
    <s v="Completed"/>
    <s v="Yes"/>
  </r>
  <r>
    <x v="868"/>
    <d v="2024-06-29T00:00:00"/>
    <s v="C70452"/>
    <x v="0"/>
    <n v="4"/>
    <n v="316.32"/>
    <s v="309 Main St"/>
    <x v="0"/>
    <x v="3"/>
    <s v="TRK42985882"/>
    <n v="7"/>
    <m/>
    <x v="3"/>
    <n v="1265.28"/>
    <n v="1265.28"/>
    <x v="5"/>
    <s v="Q2"/>
    <x v="0"/>
    <s v="Completed"/>
    <s v="No"/>
  </r>
  <r>
    <x v="869"/>
    <d v="2024-03-17T00:00:00"/>
    <s v="C29905"/>
    <x v="6"/>
    <n v="2"/>
    <n v="533.95000000000005"/>
    <s v="790 Main St"/>
    <x v="1"/>
    <x v="3"/>
    <s v="TRK16788127"/>
    <n v="5"/>
    <s v="WINTER15"/>
    <x v="4"/>
    <n v="1067.9000000000001"/>
    <n v="1067.9000000000001"/>
    <x v="9"/>
    <s v="Q1"/>
    <x v="0"/>
    <s v="Completed"/>
    <s v="Yes"/>
  </r>
  <r>
    <x v="870"/>
    <d v="2025-06-01T00:00:00"/>
    <s v="C78725"/>
    <x v="1"/>
    <n v="4"/>
    <n v="470.09"/>
    <s v="541 Main St"/>
    <x v="0"/>
    <x v="3"/>
    <s v="TRK72001139"/>
    <n v="4"/>
    <s v="FREESHIP"/>
    <x v="4"/>
    <n v="1880.36"/>
    <n v="1880.36"/>
    <x v="5"/>
    <s v="Q2"/>
    <x v="0"/>
    <s v="Completed"/>
    <s v="Yes"/>
  </r>
  <r>
    <x v="871"/>
    <d v="2024-05-16T00:00:00"/>
    <s v="C93768"/>
    <x v="2"/>
    <n v="3"/>
    <n v="324.3"/>
    <s v="720 Main St"/>
    <x v="0"/>
    <x v="4"/>
    <s v="TRK22024707"/>
    <n v="8"/>
    <s v="FREESHIP"/>
    <x v="2"/>
    <n v="972.90000000000009"/>
    <n v="972.90000000000009"/>
    <x v="4"/>
    <s v="Q2"/>
    <x v="0"/>
    <s v="Pending"/>
    <s v="Yes"/>
  </r>
  <r>
    <x v="872"/>
    <d v="2023-07-10T00:00:00"/>
    <s v="C59169"/>
    <x v="3"/>
    <n v="4"/>
    <n v="629.34"/>
    <s v="172 Main St"/>
    <x v="4"/>
    <x v="0"/>
    <s v="TRK90883858"/>
    <n v="7"/>
    <m/>
    <x v="2"/>
    <n v="2517.36"/>
    <n v="2517.36"/>
    <x v="10"/>
    <s v="Q3"/>
    <x v="0"/>
    <s v="Pending"/>
    <s v="No"/>
  </r>
  <r>
    <x v="873"/>
    <d v="2024-05-12T00:00:00"/>
    <s v="C53488"/>
    <x v="6"/>
    <n v="3"/>
    <n v="136.84"/>
    <s v="448 Main St"/>
    <x v="4"/>
    <x v="3"/>
    <s v="TRK27365050"/>
    <n v="3"/>
    <s v="SAVE10"/>
    <x v="3"/>
    <n v="410.52"/>
    <n v="410.52"/>
    <x v="4"/>
    <s v="Q2"/>
    <x v="1"/>
    <s v="Completed"/>
    <s v="Yes"/>
  </r>
  <r>
    <x v="874"/>
    <d v="2023-10-31T00:00:00"/>
    <s v="C92180"/>
    <x v="3"/>
    <n v="2"/>
    <n v="488.9"/>
    <s v="632 Main St"/>
    <x v="4"/>
    <x v="3"/>
    <s v="TRK93315929"/>
    <n v="7"/>
    <s v="FREESHIP"/>
    <x v="3"/>
    <n v="977.8"/>
    <n v="977.8"/>
    <x v="3"/>
    <s v="Q4"/>
    <x v="0"/>
    <s v="Completed"/>
    <s v="Yes"/>
  </r>
  <r>
    <x v="875"/>
    <d v="2023-08-03T00:00:00"/>
    <s v="C25918"/>
    <x v="5"/>
    <n v="5"/>
    <n v="133.38999999999999"/>
    <s v="203 Main St"/>
    <x v="2"/>
    <x v="3"/>
    <s v="TRK66473392"/>
    <n v="6"/>
    <s v="FREESHIP"/>
    <x v="1"/>
    <n v="666.94999999999993"/>
    <n v="666.94999999999993"/>
    <x v="1"/>
    <s v="Q3"/>
    <x v="0"/>
    <s v="Completed"/>
    <s v="Yes"/>
  </r>
  <r>
    <x v="876"/>
    <d v="2024-06-09T00:00:00"/>
    <s v="C90363"/>
    <x v="3"/>
    <n v="5"/>
    <n v="608.91"/>
    <s v="200 Main St"/>
    <x v="3"/>
    <x v="4"/>
    <s v="TRK21534173"/>
    <n v="6"/>
    <s v="SAVE10"/>
    <x v="4"/>
    <n v="3044.55"/>
    <n v="3044.5499999999997"/>
    <x v="5"/>
    <s v="Q2"/>
    <x v="0"/>
    <s v="Pending"/>
    <s v="Yes"/>
  </r>
  <r>
    <x v="877"/>
    <d v="2024-07-25T00:00:00"/>
    <s v="C43867"/>
    <x v="2"/>
    <n v="1"/>
    <n v="524.05999999999995"/>
    <s v="269 Main St"/>
    <x v="0"/>
    <x v="4"/>
    <s v="TRK97319127"/>
    <n v="3"/>
    <s v="FREESHIP"/>
    <x v="2"/>
    <n v="524.05999999999995"/>
    <n v="524.05999999999995"/>
    <x v="10"/>
    <s v="Q3"/>
    <x v="0"/>
    <s v="Pending"/>
    <s v="Yes"/>
  </r>
  <r>
    <x v="878"/>
    <d v="2023-06-01T00:00:00"/>
    <s v="C73873"/>
    <x v="6"/>
    <n v="2"/>
    <n v="330.69"/>
    <s v="393 Main St"/>
    <x v="1"/>
    <x v="1"/>
    <s v="TRK56423132"/>
    <n v="5"/>
    <s v="SAVE10"/>
    <x v="4"/>
    <n v="661.38"/>
    <n v="661.38"/>
    <x v="5"/>
    <s v="Q2"/>
    <x v="0"/>
    <s v="Pending"/>
    <s v="Yes"/>
  </r>
  <r>
    <x v="879"/>
    <d v="2025-04-08T00:00:00"/>
    <s v="C56622"/>
    <x v="1"/>
    <n v="2"/>
    <n v="547.66999999999996"/>
    <s v="932 Main St"/>
    <x v="3"/>
    <x v="0"/>
    <s v="TRK86373987"/>
    <n v="3"/>
    <m/>
    <x v="0"/>
    <n v="1095.3399999999999"/>
    <n v="1095.3399999999999"/>
    <x v="6"/>
    <s v="Q2"/>
    <x v="0"/>
    <s v="Pending"/>
    <s v="No"/>
  </r>
  <r>
    <x v="880"/>
    <d v="2025-03-12T00:00:00"/>
    <s v="C85074"/>
    <x v="5"/>
    <n v="4"/>
    <n v="233.7"/>
    <s v="506 Main St"/>
    <x v="1"/>
    <x v="0"/>
    <s v="TRK63133878"/>
    <n v="8"/>
    <s v="SAVE10"/>
    <x v="3"/>
    <n v="934.8"/>
    <n v="934.8"/>
    <x v="9"/>
    <s v="Q1"/>
    <x v="0"/>
    <s v="Pending"/>
    <s v="Yes"/>
  </r>
  <r>
    <x v="881"/>
    <d v="2023-01-03T00:00:00"/>
    <s v="C59579"/>
    <x v="2"/>
    <n v="2"/>
    <n v="448.85"/>
    <s v="386 Main St"/>
    <x v="2"/>
    <x v="4"/>
    <s v="TRK48000034"/>
    <n v="6"/>
    <m/>
    <x v="0"/>
    <n v="897.7"/>
    <n v="897.7"/>
    <x v="0"/>
    <s v="Q1"/>
    <x v="0"/>
    <s v="Pending"/>
    <s v="No"/>
  </r>
  <r>
    <x v="882"/>
    <d v="2025-06-28T00:00:00"/>
    <s v="C43335"/>
    <x v="1"/>
    <n v="2"/>
    <n v="274.12"/>
    <s v="533 Main St"/>
    <x v="4"/>
    <x v="3"/>
    <s v="TRK91848650"/>
    <n v="6"/>
    <s v="FREESHIP"/>
    <x v="1"/>
    <n v="548.24"/>
    <n v="548.24"/>
    <x v="5"/>
    <s v="Q2"/>
    <x v="0"/>
    <s v="Completed"/>
    <s v="Yes"/>
  </r>
  <r>
    <x v="883"/>
    <d v="2025-05-13T00:00:00"/>
    <s v="C43595"/>
    <x v="4"/>
    <n v="5"/>
    <n v="561.48"/>
    <s v="451 Main St"/>
    <x v="1"/>
    <x v="3"/>
    <s v="TRK25317348"/>
    <n v="9"/>
    <s v="FREESHIP"/>
    <x v="3"/>
    <n v="2807.4"/>
    <n v="2807.4"/>
    <x v="4"/>
    <s v="Q2"/>
    <x v="0"/>
    <s v="Completed"/>
    <s v="Yes"/>
  </r>
  <r>
    <x v="884"/>
    <d v="2024-05-15T00:00:00"/>
    <s v="C71471"/>
    <x v="3"/>
    <n v="1"/>
    <n v="595.54"/>
    <s v="817 Main St"/>
    <x v="3"/>
    <x v="0"/>
    <s v="TRK52137079"/>
    <n v="4"/>
    <m/>
    <x v="0"/>
    <n v="595.54"/>
    <n v="595.54"/>
    <x v="4"/>
    <s v="Q2"/>
    <x v="0"/>
    <s v="Pending"/>
    <s v="No"/>
  </r>
  <r>
    <x v="885"/>
    <d v="2024-04-07T00:00:00"/>
    <s v="C61090"/>
    <x v="5"/>
    <n v="4"/>
    <n v="515.59"/>
    <s v="387 Main St"/>
    <x v="2"/>
    <x v="0"/>
    <s v="TRK36388962"/>
    <n v="7"/>
    <s v="FREESHIP"/>
    <x v="4"/>
    <n v="2062.36"/>
    <n v="2062.36"/>
    <x v="6"/>
    <s v="Q2"/>
    <x v="0"/>
    <s v="Pending"/>
    <s v="Yes"/>
  </r>
  <r>
    <x v="886"/>
    <d v="2023-10-25T00:00:00"/>
    <s v="C29620"/>
    <x v="1"/>
    <n v="1"/>
    <n v="460.13"/>
    <s v="792 Main St"/>
    <x v="2"/>
    <x v="2"/>
    <s v="TRK22046456"/>
    <n v="1"/>
    <m/>
    <x v="4"/>
    <n v="460.13"/>
    <n v="460.13"/>
    <x v="3"/>
    <s v="Q4"/>
    <x v="1"/>
    <s v="Pending"/>
    <s v="No"/>
  </r>
  <r>
    <x v="887"/>
    <d v="2024-12-19T00:00:00"/>
    <s v="C67932"/>
    <x v="3"/>
    <n v="3"/>
    <n v="171.66"/>
    <s v="857 Main St"/>
    <x v="0"/>
    <x v="3"/>
    <s v="TRK88547534"/>
    <n v="7"/>
    <m/>
    <x v="4"/>
    <n v="514.98"/>
    <n v="514.98"/>
    <x v="8"/>
    <s v="Q4"/>
    <x v="0"/>
    <s v="Completed"/>
    <s v="No"/>
  </r>
  <r>
    <x v="888"/>
    <d v="2024-07-23T00:00:00"/>
    <s v="C14427"/>
    <x v="5"/>
    <n v="2"/>
    <n v="266.95"/>
    <s v="833 Main St"/>
    <x v="2"/>
    <x v="4"/>
    <s v="TRK58024529"/>
    <n v="3"/>
    <m/>
    <x v="0"/>
    <n v="533.9"/>
    <n v="533.9"/>
    <x v="10"/>
    <s v="Q3"/>
    <x v="0"/>
    <s v="Pending"/>
    <s v="No"/>
  </r>
  <r>
    <x v="889"/>
    <d v="2024-10-27T00:00:00"/>
    <s v="C36725"/>
    <x v="0"/>
    <n v="5"/>
    <n v="650.72"/>
    <s v="350 Main St"/>
    <x v="2"/>
    <x v="1"/>
    <s v="TRK16808790"/>
    <n v="8"/>
    <s v="WINTER15"/>
    <x v="2"/>
    <n v="3253.6"/>
    <n v="3253.6000000000004"/>
    <x v="3"/>
    <s v="Q4"/>
    <x v="0"/>
    <s v="Pending"/>
    <s v="Yes"/>
  </r>
  <r>
    <x v="890"/>
    <d v="2023-08-11T00:00:00"/>
    <s v="C51921"/>
    <x v="5"/>
    <n v="3"/>
    <n v="439.53"/>
    <s v="943 Main St"/>
    <x v="0"/>
    <x v="4"/>
    <s v="TRK85741716"/>
    <n v="5"/>
    <m/>
    <x v="4"/>
    <n v="1318.59"/>
    <n v="1318.59"/>
    <x v="1"/>
    <s v="Q3"/>
    <x v="0"/>
    <s v="Pending"/>
    <s v="No"/>
  </r>
  <r>
    <x v="891"/>
    <d v="2023-11-11T00:00:00"/>
    <s v="C36534"/>
    <x v="0"/>
    <n v="3"/>
    <n v="654.54"/>
    <s v="918 Main St"/>
    <x v="4"/>
    <x v="2"/>
    <s v="TRK38952138"/>
    <n v="7"/>
    <s v="SAVE10"/>
    <x v="1"/>
    <n v="1963.62"/>
    <n v="1963.62"/>
    <x v="7"/>
    <s v="Q4"/>
    <x v="0"/>
    <s v="Pending"/>
    <s v="Yes"/>
  </r>
  <r>
    <x v="892"/>
    <d v="2024-06-04T00:00:00"/>
    <s v="C72043"/>
    <x v="6"/>
    <n v="1"/>
    <n v="394.53"/>
    <s v="480 Main St"/>
    <x v="4"/>
    <x v="0"/>
    <s v="TRK40896408"/>
    <n v="2"/>
    <s v="FREESHIP"/>
    <x v="1"/>
    <n v="394.53"/>
    <n v="394.53"/>
    <x v="5"/>
    <s v="Q2"/>
    <x v="1"/>
    <s v="Pending"/>
    <s v="Yes"/>
  </r>
  <r>
    <x v="893"/>
    <d v="2023-03-21T00:00:00"/>
    <s v="C99533"/>
    <x v="0"/>
    <n v="1"/>
    <n v="678.01"/>
    <s v="696 Main St"/>
    <x v="4"/>
    <x v="4"/>
    <s v="TRK55701253"/>
    <n v="4"/>
    <s v="FREESHIP"/>
    <x v="1"/>
    <n v="678.01"/>
    <n v="678.01"/>
    <x v="9"/>
    <s v="Q1"/>
    <x v="0"/>
    <s v="Pending"/>
    <s v="Yes"/>
  </r>
  <r>
    <x v="894"/>
    <d v="2023-05-23T00:00:00"/>
    <s v="C90852"/>
    <x v="2"/>
    <n v="3"/>
    <n v="575.01"/>
    <s v="852 Main St"/>
    <x v="1"/>
    <x v="1"/>
    <s v="TRK37551831"/>
    <n v="8"/>
    <s v="WINTER15"/>
    <x v="0"/>
    <n v="1725.03"/>
    <n v="1725.03"/>
    <x v="4"/>
    <s v="Q2"/>
    <x v="0"/>
    <s v="Pending"/>
    <s v="Yes"/>
  </r>
  <r>
    <x v="895"/>
    <d v="2023-11-09T00:00:00"/>
    <s v="C81882"/>
    <x v="3"/>
    <n v="3"/>
    <n v="154.63999999999999"/>
    <s v="832 Main St"/>
    <x v="0"/>
    <x v="4"/>
    <s v="TRK62371264"/>
    <n v="6"/>
    <s v="WINTER15"/>
    <x v="3"/>
    <n v="463.92"/>
    <n v="463.91999999999996"/>
    <x v="7"/>
    <s v="Q4"/>
    <x v="1"/>
    <s v="Pending"/>
    <s v="Yes"/>
  </r>
  <r>
    <x v="896"/>
    <d v="2024-10-18T00:00:00"/>
    <s v="C85466"/>
    <x v="6"/>
    <n v="3"/>
    <n v="147.29"/>
    <s v="102 Main St"/>
    <x v="3"/>
    <x v="0"/>
    <s v="TRK66764177"/>
    <n v="3"/>
    <s v="FREESHIP"/>
    <x v="4"/>
    <n v="441.87"/>
    <n v="441.87"/>
    <x v="3"/>
    <s v="Q4"/>
    <x v="1"/>
    <s v="Pending"/>
    <s v="Yes"/>
  </r>
  <r>
    <x v="897"/>
    <d v="2024-09-03T00:00:00"/>
    <s v="C87995"/>
    <x v="5"/>
    <n v="4"/>
    <n v="481.48"/>
    <s v="358 Main St"/>
    <x v="3"/>
    <x v="3"/>
    <s v="TRK38730545"/>
    <n v="5"/>
    <s v="SAVE10"/>
    <x v="0"/>
    <n v="1925.92"/>
    <n v="1925.92"/>
    <x v="11"/>
    <s v="Q3"/>
    <x v="0"/>
    <s v="Completed"/>
    <s v="Yes"/>
  </r>
  <r>
    <x v="898"/>
    <d v="2025-03-05T00:00:00"/>
    <s v="C44619"/>
    <x v="0"/>
    <n v="3"/>
    <n v="158.37"/>
    <s v="742 Main St"/>
    <x v="4"/>
    <x v="0"/>
    <s v="TRK66662528"/>
    <n v="6"/>
    <m/>
    <x v="1"/>
    <n v="475.11"/>
    <n v="475.11"/>
    <x v="9"/>
    <s v="Q1"/>
    <x v="1"/>
    <s v="Pending"/>
    <s v="No"/>
  </r>
  <r>
    <x v="899"/>
    <d v="2025-04-23T00:00:00"/>
    <s v="C99904"/>
    <x v="4"/>
    <n v="2"/>
    <n v="323.37"/>
    <s v="552 Main St"/>
    <x v="1"/>
    <x v="4"/>
    <s v="TRK83843411"/>
    <n v="3"/>
    <s v="SAVE10"/>
    <x v="0"/>
    <n v="646.74"/>
    <n v="646.74"/>
    <x v="6"/>
    <s v="Q2"/>
    <x v="0"/>
    <s v="Pending"/>
    <s v="Yes"/>
  </r>
  <r>
    <x v="900"/>
    <d v="2025-02-07T00:00:00"/>
    <s v="C52342"/>
    <x v="5"/>
    <n v="5"/>
    <n v="73.83"/>
    <s v="991 Main St"/>
    <x v="0"/>
    <x v="4"/>
    <s v="TRK67342586"/>
    <n v="9"/>
    <m/>
    <x v="0"/>
    <n v="369.15"/>
    <n v="369.15"/>
    <x v="2"/>
    <s v="Q1"/>
    <x v="1"/>
    <s v="Pending"/>
    <s v="No"/>
  </r>
  <r>
    <x v="901"/>
    <d v="2024-04-28T00:00:00"/>
    <s v="C44277"/>
    <x v="2"/>
    <n v="1"/>
    <n v="458.63"/>
    <s v="839 Main St"/>
    <x v="0"/>
    <x v="2"/>
    <s v="TRK79321479"/>
    <n v="4"/>
    <s v="WINTER15"/>
    <x v="1"/>
    <n v="458.63"/>
    <n v="458.63"/>
    <x v="6"/>
    <s v="Q2"/>
    <x v="1"/>
    <s v="Pending"/>
    <s v="Yes"/>
  </r>
  <r>
    <x v="902"/>
    <d v="2024-07-13T00:00:00"/>
    <s v="C61162"/>
    <x v="0"/>
    <n v="4"/>
    <n v="180.25"/>
    <s v="813 Main St"/>
    <x v="0"/>
    <x v="1"/>
    <s v="TRK76712124"/>
    <n v="7"/>
    <m/>
    <x v="3"/>
    <n v="721"/>
    <n v="721"/>
    <x v="10"/>
    <s v="Q3"/>
    <x v="0"/>
    <s v="Pending"/>
    <s v="No"/>
  </r>
  <r>
    <x v="903"/>
    <d v="2023-05-17T00:00:00"/>
    <s v="C80868"/>
    <x v="0"/>
    <n v="3"/>
    <n v="473.49"/>
    <s v="205 Main St"/>
    <x v="2"/>
    <x v="4"/>
    <s v="TRK56186636"/>
    <n v="7"/>
    <m/>
    <x v="2"/>
    <n v="1420.47"/>
    <n v="1420.47"/>
    <x v="4"/>
    <s v="Q2"/>
    <x v="0"/>
    <s v="Pending"/>
    <s v="No"/>
  </r>
  <r>
    <x v="904"/>
    <d v="2025-02-05T00:00:00"/>
    <s v="C16693"/>
    <x v="0"/>
    <n v="4"/>
    <n v="237.43"/>
    <s v="262 Main St"/>
    <x v="4"/>
    <x v="1"/>
    <s v="TRK41146508"/>
    <n v="8"/>
    <s v="WINTER15"/>
    <x v="1"/>
    <n v="949.72"/>
    <n v="949.72"/>
    <x v="2"/>
    <s v="Q1"/>
    <x v="0"/>
    <s v="Pending"/>
    <s v="Yes"/>
  </r>
  <r>
    <x v="905"/>
    <d v="2023-11-23T00:00:00"/>
    <s v="C67818"/>
    <x v="5"/>
    <n v="1"/>
    <n v="442.39"/>
    <s v="101 Main St"/>
    <x v="3"/>
    <x v="4"/>
    <s v="TRK81978113"/>
    <n v="6"/>
    <s v="FREESHIP"/>
    <x v="3"/>
    <n v="442.39"/>
    <n v="442.39"/>
    <x v="7"/>
    <s v="Q4"/>
    <x v="1"/>
    <s v="Pending"/>
    <s v="Yes"/>
  </r>
  <r>
    <x v="906"/>
    <d v="2024-09-03T00:00:00"/>
    <s v="C49938"/>
    <x v="0"/>
    <n v="1"/>
    <n v="62.12"/>
    <s v="141 Main St"/>
    <x v="4"/>
    <x v="2"/>
    <s v="TRK80175572"/>
    <n v="2"/>
    <m/>
    <x v="2"/>
    <n v="62.12"/>
    <n v="62.12"/>
    <x v="11"/>
    <s v="Q3"/>
    <x v="2"/>
    <s v="Pending"/>
    <s v="No"/>
  </r>
  <r>
    <x v="907"/>
    <d v="2024-08-04T00:00:00"/>
    <s v="C90898"/>
    <x v="6"/>
    <n v="5"/>
    <n v="298.39"/>
    <s v="583 Main St"/>
    <x v="3"/>
    <x v="1"/>
    <s v="TRK52935170"/>
    <n v="7"/>
    <s v="WINTER15"/>
    <x v="1"/>
    <n v="1491.95"/>
    <n v="1491.9499999999998"/>
    <x v="1"/>
    <s v="Q3"/>
    <x v="0"/>
    <s v="Pending"/>
    <s v="Yes"/>
  </r>
  <r>
    <x v="908"/>
    <d v="2025-05-06T00:00:00"/>
    <s v="C35117"/>
    <x v="6"/>
    <n v="2"/>
    <n v="697.93"/>
    <s v="332 Main St"/>
    <x v="2"/>
    <x v="1"/>
    <s v="TRK27155709"/>
    <n v="2"/>
    <s v="SAVE10"/>
    <x v="4"/>
    <n v="1395.86"/>
    <n v="1395.86"/>
    <x v="4"/>
    <s v="Q2"/>
    <x v="0"/>
    <s v="Pending"/>
    <s v="Yes"/>
  </r>
  <r>
    <x v="909"/>
    <d v="2024-05-27T00:00:00"/>
    <s v="C60203"/>
    <x v="2"/>
    <n v="2"/>
    <n v="291.85000000000002"/>
    <s v="569 Main St"/>
    <x v="4"/>
    <x v="0"/>
    <s v="TRK76525279"/>
    <n v="5"/>
    <s v="FREESHIP"/>
    <x v="0"/>
    <n v="583.70000000000005"/>
    <n v="583.70000000000005"/>
    <x v="4"/>
    <s v="Q2"/>
    <x v="0"/>
    <s v="Pending"/>
    <s v="Yes"/>
  </r>
  <r>
    <x v="910"/>
    <d v="2024-05-31T00:00:00"/>
    <s v="C36174"/>
    <x v="4"/>
    <n v="3"/>
    <n v="308.98"/>
    <s v="348 Main St"/>
    <x v="4"/>
    <x v="3"/>
    <s v="TRK26397548"/>
    <n v="3"/>
    <s v="SAVE10"/>
    <x v="0"/>
    <n v="926.94"/>
    <n v="926.94"/>
    <x v="4"/>
    <s v="Q2"/>
    <x v="0"/>
    <s v="Completed"/>
    <s v="Yes"/>
  </r>
  <r>
    <x v="911"/>
    <d v="2024-08-13T00:00:00"/>
    <s v="C80872"/>
    <x v="6"/>
    <n v="5"/>
    <n v="396.86"/>
    <s v="593 Main St"/>
    <x v="4"/>
    <x v="1"/>
    <s v="TRK43967487"/>
    <n v="9"/>
    <s v="SAVE10"/>
    <x v="0"/>
    <n v="1984.3"/>
    <n v="1984.3000000000002"/>
    <x v="1"/>
    <s v="Q3"/>
    <x v="0"/>
    <s v="Pending"/>
    <s v="Yes"/>
  </r>
  <r>
    <x v="912"/>
    <d v="2024-01-22T00:00:00"/>
    <s v="C67604"/>
    <x v="6"/>
    <n v="2"/>
    <n v="139.69"/>
    <s v="318 Main St"/>
    <x v="1"/>
    <x v="2"/>
    <s v="TRK85545920"/>
    <n v="7"/>
    <s v="FREESHIP"/>
    <x v="2"/>
    <n v="279.38"/>
    <n v="279.38"/>
    <x v="0"/>
    <s v="Q1"/>
    <x v="1"/>
    <s v="Pending"/>
    <s v="Yes"/>
  </r>
  <r>
    <x v="913"/>
    <d v="2023-02-16T00:00:00"/>
    <s v="C45599"/>
    <x v="4"/>
    <n v="5"/>
    <n v="475.95"/>
    <s v="505 Main St"/>
    <x v="2"/>
    <x v="2"/>
    <s v="TRK62277685"/>
    <n v="8"/>
    <s v="WINTER15"/>
    <x v="3"/>
    <n v="2379.75"/>
    <n v="2379.75"/>
    <x v="2"/>
    <s v="Q1"/>
    <x v="0"/>
    <s v="Pending"/>
    <s v="Yes"/>
  </r>
  <r>
    <x v="914"/>
    <d v="2025-02-10T00:00:00"/>
    <s v="C70352"/>
    <x v="6"/>
    <n v="1"/>
    <n v="626.6"/>
    <s v="955 Main St"/>
    <x v="3"/>
    <x v="2"/>
    <s v="TRK51589589"/>
    <n v="4"/>
    <s v="WINTER15"/>
    <x v="3"/>
    <n v="626.6"/>
    <n v="626.6"/>
    <x v="2"/>
    <s v="Q1"/>
    <x v="0"/>
    <s v="Pending"/>
    <s v="Yes"/>
  </r>
  <r>
    <x v="915"/>
    <d v="2024-02-16T00:00:00"/>
    <s v="C20643"/>
    <x v="5"/>
    <n v="4"/>
    <n v="502.99"/>
    <s v="939 Main St"/>
    <x v="0"/>
    <x v="0"/>
    <s v="TRK30736692"/>
    <n v="4"/>
    <s v="WINTER15"/>
    <x v="1"/>
    <n v="2011.96"/>
    <n v="2011.96"/>
    <x v="2"/>
    <s v="Q1"/>
    <x v="0"/>
    <s v="Pending"/>
    <s v="Yes"/>
  </r>
  <r>
    <x v="916"/>
    <d v="2024-06-21T00:00:00"/>
    <s v="C35669"/>
    <x v="4"/>
    <n v="5"/>
    <n v="578.83000000000004"/>
    <s v="165 Main St"/>
    <x v="4"/>
    <x v="2"/>
    <s v="TRK13928455"/>
    <n v="6"/>
    <m/>
    <x v="1"/>
    <n v="2894.15"/>
    <n v="2894.15"/>
    <x v="5"/>
    <s v="Q2"/>
    <x v="0"/>
    <s v="Pending"/>
    <s v="No"/>
  </r>
  <r>
    <x v="917"/>
    <d v="2025-01-20T00:00:00"/>
    <s v="C65524"/>
    <x v="5"/>
    <n v="5"/>
    <n v="383.82"/>
    <s v="836 Main St"/>
    <x v="2"/>
    <x v="2"/>
    <s v="TRK19315310"/>
    <n v="7"/>
    <s v="FREESHIP"/>
    <x v="4"/>
    <n v="1919.1"/>
    <n v="1919.1"/>
    <x v="0"/>
    <s v="Q1"/>
    <x v="0"/>
    <s v="Pending"/>
    <s v="Yes"/>
  </r>
  <r>
    <x v="918"/>
    <d v="2025-06-24T00:00:00"/>
    <s v="C74359"/>
    <x v="5"/>
    <n v="5"/>
    <n v="368.25"/>
    <s v="706 Main St"/>
    <x v="1"/>
    <x v="3"/>
    <s v="TRK18250450"/>
    <n v="5"/>
    <m/>
    <x v="0"/>
    <n v="1841.25"/>
    <n v="1841.25"/>
    <x v="5"/>
    <s v="Q2"/>
    <x v="0"/>
    <s v="Completed"/>
    <s v="No"/>
  </r>
  <r>
    <x v="919"/>
    <d v="2025-02-07T00:00:00"/>
    <s v="C92086"/>
    <x v="4"/>
    <n v="2"/>
    <n v="374.6"/>
    <s v="187 Main St"/>
    <x v="1"/>
    <x v="0"/>
    <s v="TRK23357668"/>
    <n v="3"/>
    <s v="FREESHIP"/>
    <x v="1"/>
    <n v="749.2"/>
    <n v="749.2"/>
    <x v="2"/>
    <s v="Q1"/>
    <x v="0"/>
    <s v="Pending"/>
    <s v="Yes"/>
  </r>
  <r>
    <x v="920"/>
    <d v="2025-03-12T00:00:00"/>
    <s v="C26137"/>
    <x v="2"/>
    <n v="2"/>
    <n v="428.09"/>
    <s v="978 Main St"/>
    <x v="2"/>
    <x v="2"/>
    <s v="TRK98110407"/>
    <n v="6"/>
    <m/>
    <x v="0"/>
    <n v="856.18"/>
    <n v="856.18"/>
    <x v="9"/>
    <s v="Q1"/>
    <x v="0"/>
    <s v="Pending"/>
    <s v="No"/>
  </r>
  <r>
    <x v="921"/>
    <d v="2023-07-24T00:00:00"/>
    <s v="C90573"/>
    <x v="2"/>
    <n v="1"/>
    <n v="438.93"/>
    <s v="144 Main St"/>
    <x v="3"/>
    <x v="1"/>
    <s v="TRK90075720"/>
    <n v="3"/>
    <s v="SAVE10"/>
    <x v="1"/>
    <n v="438.93"/>
    <n v="438.93"/>
    <x v="10"/>
    <s v="Q3"/>
    <x v="1"/>
    <s v="Pending"/>
    <s v="Yes"/>
  </r>
  <r>
    <x v="922"/>
    <d v="2024-06-17T00:00:00"/>
    <s v="C81857"/>
    <x v="6"/>
    <n v="2"/>
    <n v="563.82000000000005"/>
    <s v="487 Main St"/>
    <x v="2"/>
    <x v="4"/>
    <s v="TRK79737732"/>
    <n v="3"/>
    <m/>
    <x v="0"/>
    <n v="1127.6400000000001"/>
    <n v="1127.6400000000001"/>
    <x v="5"/>
    <s v="Q2"/>
    <x v="0"/>
    <s v="Pending"/>
    <s v="No"/>
  </r>
  <r>
    <x v="923"/>
    <d v="2023-02-11T00:00:00"/>
    <s v="C91582"/>
    <x v="4"/>
    <n v="3"/>
    <n v="649.92999999999995"/>
    <s v="836 Main St"/>
    <x v="2"/>
    <x v="4"/>
    <s v="TRK99938245"/>
    <n v="7"/>
    <s v="WINTER15"/>
    <x v="3"/>
    <n v="1949.79"/>
    <n v="1949.79"/>
    <x v="2"/>
    <s v="Q1"/>
    <x v="0"/>
    <s v="Pending"/>
    <s v="Yes"/>
  </r>
  <r>
    <x v="924"/>
    <d v="2025-03-22T00:00:00"/>
    <s v="C81319"/>
    <x v="4"/>
    <n v="5"/>
    <n v="268.43"/>
    <s v="991 Main St"/>
    <x v="4"/>
    <x v="2"/>
    <s v="TRK55330558"/>
    <n v="5"/>
    <s v="SAVE10"/>
    <x v="2"/>
    <n v="1342.15"/>
    <n v="1342.15"/>
    <x v="9"/>
    <s v="Q1"/>
    <x v="0"/>
    <s v="Pending"/>
    <s v="Yes"/>
  </r>
  <r>
    <x v="925"/>
    <d v="2024-12-20T00:00:00"/>
    <s v="C78500"/>
    <x v="0"/>
    <n v="5"/>
    <n v="502.47"/>
    <s v="304 Main St"/>
    <x v="1"/>
    <x v="0"/>
    <s v="TRK97460884"/>
    <n v="10"/>
    <s v="WINTER15"/>
    <x v="2"/>
    <n v="2512.35"/>
    <n v="2512.3500000000004"/>
    <x v="8"/>
    <s v="Q4"/>
    <x v="0"/>
    <s v="Pending"/>
    <s v="Yes"/>
  </r>
  <r>
    <x v="926"/>
    <d v="2024-03-20T00:00:00"/>
    <s v="C67533"/>
    <x v="6"/>
    <n v="1"/>
    <n v="26.95"/>
    <s v="672 Main St"/>
    <x v="4"/>
    <x v="3"/>
    <s v="TRK14566395"/>
    <n v="1"/>
    <s v="WINTER15"/>
    <x v="2"/>
    <n v="26.95"/>
    <n v="26.95"/>
    <x v="9"/>
    <s v="Q1"/>
    <x v="2"/>
    <s v="Completed"/>
    <s v="Yes"/>
  </r>
  <r>
    <x v="927"/>
    <d v="2023-02-14T00:00:00"/>
    <s v="C35566"/>
    <x v="5"/>
    <n v="4"/>
    <n v="64.69"/>
    <s v="638 Main St"/>
    <x v="0"/>
    <x v="0"/>
    <s v="TRK10003020"/>
    <n v="7"/>
    <s v="WINTER15"/>
    <x v="4"/>
    <n v="258.76"/>
    <n v="258.76"/>
    <x v="2"/>
    <s v="Q1"/>
    <x v="1"/>
    <s v="Pending"/>
    <s v="Yes"/>
  </r>
  <r>
    <x v="928"/>
    <d v="2024-05-09T00:00:00"/>
    <s v="C77166"/>
    <x v="5"/>
    <n v="3"/>
    <n v="247.11"/>
    <s v="821 Main St"/>
    <x v="0"/>
    <x v="2"/>
    <s v="TRK18896595"/>
    <n v="3"/>
    <s v="WINTER15"/>
    <x v="1"/>
    <n v="741.33"/>
    <n v="741.33"/>
    <x v="4"/>
    <s v="Q2"/>
    <x v="0"/>
    <s v="Pending"/>
    <s v="Yes"/>
  </r>
  <r>
    <x v="929"/>
    <d v="2024-10-16T00:00:00"/>
    <s v="C67936"/>
    <x v="2"/>
    <n v="2"/>
    <n v="536.25"/>
    <s v="553 Main St"/>
    <x v="0"/>
    <x v="4"/>
    <s v="TRK71803414"/>
    <n v="3"/>
    <m/>
    <x v="2"/>
    <n v="1072.5"/>
    <n v="1072.5"/>
    <x v="3"/>
    <s v="Q4"/>
    <x v="0"/>
    <s v="Pending"/>
    <s v="No"/>
  </r>
  <r>
    <x v="930"/>
    <d v="2024-12-16T00:00:00"/>
    <s v="C59554"/>
    <x v="1"/>
    <n v="2"/>
    <n v="456.04"/>
    <s v="382 Main St"/>
    <x v="0"/>
    <x v="2"/>
    <s v="TRK28182447"/>
    <n v="4"/>
    <s v="FREESHIP"/>
    <x v="2"/>
    <n v="912.08"/>
    <n v="912.08"/>
    <x v="8"/>
    <s v="Q4"/>
    <x v="0"/>
    <s v="Pending"/>
    <s v="Yes"/>
  </r>
  <r>
    <x v="931"/>
    <d v="2024-01-01T00:00:00"/>
    <s v="C14005"/>
    <x v="4"/>
    <n v="2"/>
    <n v="40.229999999999997"/>
    <s v="623 Main St"/>
    <x v="2"/>
    <x v="1"/>
    <s v="TRK87567926"/>
    <n v="4"/>
    <s v="SAVE10"/>
    <x v="4"/>
    <n v="80.459999999999994"/>
    <n v="80.459999999999994"/>
    <x v="0"/>
    <s v="Q1"/>
    <x v="2"/>
    <s v="Pending"/>
    <s v="Yes"/>
  </r>
  <r>
    <x v="932"/>
    <d v="2023-03-26T00:00:00"/>
    <s v="C26118"/>
    <x v="5"/>
    <n v="2"/>
    <n v="72.39"/>
    <s v="168 Main St"/>
    <x v="1"/>
    <x v="3"/>
    <s v="TRK15334251"/>
    <n v="7"/>
    <s v="WINTER15"/>
    <x v="0"/>
    <n v="144.78"/>
    <n v="144.78"/>
    <x v="9"/>
    <s v="Q1"/>
    <x v="1"/>
    <s v="Completed"/>
    <s v="Yes"/>
  </r>
  <r>
    <x v="933"/>
    <d v="2023-01-26T00:00:00"/>
    <s v="C59685"/>
    <x v="0"/>
    <n v="2"/>
    <n v="394.16"/>
    <s v="255 Main St"/>
    <x v="1"/>
    <x v="0"/>
    <s v="TRK43718093"/>
    <n v="2"/>
    <m/>
    <x v="1"/>
    <n v="788.32"/>
    <n v="788.32"/>
    <x v="0"/>
    <s v="Q1"/>
    <x v="0"/>
    <s v="Pending"/>
    <s v="No"/>
  </r>
  <r>
    <x v="934"/>
    <d v="2025-06-01T00:00:00"/>
    <s v="C40304"/>
    <x v="5"/>
    <n v="4"/>
    <n v="119.84"/>
    <s v="692 Main St"/>
    <x v="3"/>
    <x v="0"/>
    <s v="TRK85790948"/>
    <n v="8"/>
    <s v="FREESHIP"/>
    <x v="1"/>
    <n v="479.36"/>
    <n v="479.36"/>
    <x v="5"/>
    <s v="Q2"/>
    <x v="1"/>
    <s v="Pending"/>
    <s v="Yes"/>
  </r>
  <r>
    <x v="935"/>
    <d v="2023-11-24T00:00:00"/>
    <s v="C39593"/>
    <x v="1"/>
    <n v="3"/>
    <n v="692.71"/>
    <s v="398 Main St"/>
    <x v="2"/>
    <x v="3"/>
    <s v="TRK62405253"/>
    <n v="3"/>
    <s v="FREESHIP"/>
    <x v="0"/>
    <n v="2078.13"/>
    <n v="2078.13"/>
    <x v="7"/>
    <s v="Q4"/>
    <x v="0"/>
    <s v="Completed"/>
    <s v="Yes"/>
  </r>
  <r>
    <x v="936"/>
    <d v="2024-01-12T00:00:00"/>
    <s v="C50612"/>
    <x v="3"/>
    <n v="4"/>
    <n v="56.66"/>
    <s v="737 Main St"/>
    <x v="1"/>
    <x v="3"/>
    <s v="TRK44140968"/>
    <n v="4"/>
    <s v="SAVE10"/>
    <x v="0"/>
    <n v="226.64"/>
    <n v="226.64"/>
    <x v="0"/>
    <s v="Q1"/>
    <x v="1"/>
    <s v="Completed"/>
    <s v="Yes"/>
  </r>
  <r>
    <x v="937"/>
    <d v="2024-01-16T00:00:00"/>
    <s v="C39791"/>
    <x v="3"/>
    <n v="2"/>
    <n v="298.52999999999997"/>
    <s v="536 Main St"/>
    <x v="0"/>
    <x v="1"/>
    <s v="TRK46221436"/>
    <n v="5"/>
    <s v="WINTER15"/>
    <x v="2"/>
    <n v="597.05999999999995"/>
    <n v="597.05999999999995"/>
    <x v="0"/>
    <s v="Q1"/>
    <x v="0"/>
    <s v="Pending"/>
    <s v="Yes"/>
  </r>
  <r>
    <x v="938"/>
    <d v="2023-07-12T00:00:00"/>
    <s v="C39017"/>
    <x v="3"/>
    <n v="3"/>
    <n v="331.46"/>
    <s v="696 Main St"/>
    <x v="2"/>
    <x v="1"/>
    <s v="TRK91155214"/>
    <n v="6"/>
    <s v="WINTER15"/>
    <x v="1"/>
    <n v="994.37999999999988"/>
    <n v="994.37999999999988"/>
    <x v="10"/>
    <s v="Q3"/>
    <x v="0"/>
    <s v="Pending"/>
    <s v="Yes"/>
  </r>
  <r>
    <x v="939"/>
    <d v="2025-04-16T00:00:00"/>
    <s v="C48510"/>
    <x v="5"/>
    <n v="2"/>
    <n v="521.4"/>
    <s v="212 Main St"/>
    <x v="4"/>
    <x v="3"/>
    <s v="TRK53152886"/>
    <n v="7"/>
    <s v="SAVE10"/>
    <x v="0"/>
    <n v="1042.8"/>
    <n v="1042.8"/>
    <x v="6"/>
    <s v="Q2"/>
    <x v="0"/>
    <s v="Completed"/>
    <s v="Yes"/>
  </r>
  <r>
    <x v="940"/>
    <d v="2023-03-27T00:00:00"/>
    <s v="C74003"/>
    <x v="4"/>
    <n v="4"/>
    <n v="305.32"/>
    <s v="679 Main St"/>
    <x v="1"/>
    <x v="1"/>
    <s v="TRK91525779"/>
    <n v="4"/>
    <s v="SAVE10"/>
    <x v="4"/>
    <n v="1221.28"/>
    <n v="1221.28"/>
    <x v="9"/>
    <s v="Q1"/>
    <x v="0"/>
    <s v="Pending"/>
    <s v="Yes"/>
  </r>
  <r>
    <x v="941"/>
    <d v="2023-07-17T00:00:00"/>
    <s v="C91155"/>
    <x v="4"/>
    <n v="5"/>
    <n v="111.7"/>
    <s v="599 Main St"/>
    <x v="2"/>
    <x v="1"/>
    <s v="TRK82162952"/>
    <n v="9"/>
    <s v="FREESHIP"/>
    <x v="2"/>
    <n v="558.5"/>
    <n v="558.5"/>
    <x v="10"/>
    <s v="Q3"/>
    <x v="0"/>
    <s v="Pending"/>
    <s v="Yes"/>
  </r>
  <r>
    <x v="942"/>
    <d v="2023-09-29T00:00:00"/>
    <s v="C17591"/>
    <x v="2"/>
    <n v="1"/>
    <n v="479.76"/>
    <s v="882 Main St"/>
    <x v="2"/>
    <x v="4"/>
    <s v="TRK56070470"/>
    <n v="1"/>
    <m/>
    <x v="2"/>
    <n v="479.76"/>
    <n v="479.76"/>
    <x v="11"/>
    <s v="Q3"/>
    <x v="1"/>
    <s v="Pending"/>
    <s v="No"/>
  </r>
  <r>
    <x v="943"/>
    <d v="2023-12-27T00:00:00"/>
    <s v="C43330"/>
    <x v="0"/>
    <n v="3"/>
    <n v="193.49"/>
    <s v="355 Main St"/>
    <x v="3"/>
    <x v="2"/>
    <s v="TRK71594838"/>
    <n v="6"/>
    <s v="FREESHIP"/>
    <x v="3"/>
    <n v="580.47"/>
    <n v="580.47"/>
    <x v="8"/>
    <s v="Q4"/>
    <x v="0"/>
    <s v="Pending"/>
    <s v="Yes"/>
  </r>
  <r>
    <x v="944"/>
    <d v="2024-12-16T00:00:00"/>
    <s v="C32687"/>
    <x v="5"/>
    <n v="2"/>
    <n v="426.22"/>
    <s v="448 Main St"/>
    <x v="1"/>
    <x v="3"/>
    <s v="TRK98284560"/>
    <n v="7"/>
    <s v="WINTER15"/>
    <x v="4"/>
    <n v="852.44"/>
    <n v="852.44"/>
    <x v="8"/>
    <s v="Q4"/>
    <x v="0"/>
    <s v="Completed"/>
    <s v="Yes"/>
  </r>
  <r>
    <x v="945"/>
    <d v="2023-08-20T00:00:00"/>
    <s v="C79722"/>
    <x v="2"/>
    <n v="5"/>
    <n v="276.44"/>
    <s v="619 Main St"/>
    <x v="3"/>
    <x v="0"/>
    <s v="TRK29976438"/>
    <n v="10"/>
    <s v="FREESHIP"/>
    <x v="1"/>
    <n v="1382.2"/>
    <n v="1382.2"/>
    <x v="1"/>
    <s v="Q3"/>
    <x v="0"/>
    <s v="Pending"/>
    <s v="Yes"/>
  </r>
  <r>
    <x v="946"/>
    <d v="2024-05-04T00:00:00"/>
    <s v="C65021"/>
    <x v="1"/>
    <n v="2"/>
    <n v="404.96"/>
    <s v="546 Main St"/>
    <x v="4"/>
    <x v="0"/>
    <s v="TRK20626179"/>
    <n v="4"/>
    <s v="SAVE10"/>
    <x v="2"/>
    <n v="809.92"/>
    <n v="809.92"/>
    <x v="4"/>
    <s v="Q2"/>
    <x v="0"/>
    <s v="Pending"/>
    <s v="Yes"/>
  </r>
  <r>
    <x v="947"/>
    <d v="2023-09-07T00:00:00"/>
    <s v="C85520"/>
    <x v="1"/>
    <n v="4"/>
    <n v="465.66"/>
    <s v="119 Main St"/>
    <x v="1"/>
    <x v="2"/>
    <s v="TRK65994177"/>
    <n v="9"/>
    <s v="FREESHIP"/>
    <x v="2"/>
    <n v="1862.64"/>
    <n v="1862.64"/>
    <x v="11"/>
    <s v="Q3"/>
    <x v="0"/>
    <s v="Pending"/>
    <s v="Yes"/>
  </r>
  <r>
    <x v="948"/>
    <d v="2024-06-21T00:00:00"/>
    <s v="C94569"/>
    <x v="1"/>
    <n v="2"/>
    <n v="594.07000000000005"/>
    <s v="739 Main St"/>
    <x v="3"/>
    <x v="1"/>
    <s v="TRK79269291"/>
    <n v="2"/>
    <m/>
    <x v="4"/>
    <n v="1188.1400000000001"/>
    <n v="1188.1400000000001"/>
    <x v="5"/>
    <s v="Q2"/>
    <x v="0"/>
    <s v="Pending"/>
    <s v="No"/>
  </r>
  <r>
    <x v="949"/>
    <d v="2023-11-09T00:00:00"/>
    <s v="C55778"/>
    <x v="6"/>
    <n v="5"/>
    <n v="110.38"/>
    <s v="319 Main St"/>
    <x v="4"/>
    <x v="4"/>
    <s v="TRK93797108"/>
    <n v="10"/>
    <m/>
    <x v="1"/>
    <n v="551.9"/>
    <n v="551.9"/>
    <x v="7"/>
    <s v="Q4"/>
    <x v="0"/>
    <s v="Pending"/>
    <s v="No"/>
  </r>
  <r>
    <x v="950"/>
    <d v="2024-05-31T00:00:00"/>
    <s v="C19722"/>
    <x v="5"/>
    <n v="1"/>
    <n v="596.24"/>
    <s v="891 Main St"/>
    <x v="2"/>
    <x v="2"/>
    <s v="TRK78094361"/>
    <n v="4"/>
    <s v="FREESHIP"/>
    <x v="0"/>
    <n v="596.24"/>
    <n v="596.24"/>
    <x v="4"/>
    <s v="Q2"/>
    <x v="0"/>
    <s v="Pending"/>
    <s v="Yes"/>
  </r>
  <r>
    <x v="951"/>
    <d v="2024-07-22T00:00:00"/>
    <s v="C74928"/>
    <x v="4"/>
    <n v="2"/>
    <n v="306.24"/>
    <s v="589 Main St"/>
    <x v="1"/>
    <x v="2"/>
    <s v="TRK39845914"/>
    <n v="4"/>
    <s v="FREESHIP"/>
    <x v="2"/>
    <n v="612.48"/>
    <n v="612.48"/>
    <x v="10"/>
    <s v="Q3"/>
    <x v="0"/>
    <s v="Pending"/>
    <s v="Yes"/>
  </r>
  <r>
    <x v="952"/>
    <d v="2025-02-27T00:00:00"/>
    <s v="C49111"/>
    <x v="0"/>
    <n v="3"/>
    <n v="503.39"/>
    <s v="225 Main St"/>
    <x v="1"/>
    <x v="4"/>
    <s v="TRK45303393"/>
    <n v="5"/>
    <m/>
    <x v="3"/>
    <n v="1510.17"/>
    <n v="1510.17"/>
    <x v="2"/>
    <s v="Q1"/>
    <x v="0"/>
    <s v="Pending"/>
    <s v="No"/>
  </r>
  <r>
    <x v="953"/>
    <d v="2023-02-06T00:00:00"/>
    <s v="C43721"/>
    <x v="1"/>
    <n v="1"/>
    <n v="131.61000000000001"/>
    <s v="971 Main St"/>
    <x v="4"/>
    <x v="0"/>
    <s v="TRK89392104"/>
    <n v="2"/>
    <s v="FREESHIP"/>
    <x v="3"/>
    <n v="131.61000000000001"/>
    <n v="131.61000000000001"/>
    <x v="2"/>
    <s v="Q1"/>
    <x v="1"/>
    <s v="Pending"/>
    <s v="Yes"/>
  </r>
  <r>
    <x v="954"/>
    <d v="2024-10-22T00:00:00"/>
    <s v="C68609"/>
    <x v="3"/>
    <n v="3"/>
    <n v="443.44"/>
    <s v="240 Main St"/>
    <x v="3"/>
    <x v="0"/>
    <s v="TRK58273778"/>
    <n v="3"/>
    <s v="FREESHIP"/>
    <x v="4"/>
    <n v="1330.32"/>
    <n v="1330.32"/>
    <x v="3"/>
    <s v="Q4"/>
    <x v="0"/>
    <s v="Pending"/>
    <s v="Yes"/>
  </r>
  <r>
    <x v="955"/>
    <d v="2023-01-23T00:00:00"/>
    <s v="C82068"/>
    <x v="3"/>
    <n v="1"/>
    <n v="408.13"/>
    <s v="164 Main St"/>
    <x v="3"/>
    <x v="0"/>
    <s v="TRK25779180"/>
    <n v="3"/>
    <s v="WINTER15"/>
    <x v="0"/>
    <n v="408.13"/>
    <n v="408.13"/>
    <x v="0"/>
    <s v="Q1"/>
    <x v="1"/>
    <s v="Pending"/>
    <s v="Yes"/>
  </r>
  <r>
    <x v="956"/>
    <d v="2024-04-11T00:00:00"/>
    <s v="C21191"/>
    <x v="1"/>
    <n v="2"/>
    <n v="160.97999999999999"/>
    <s v="381 Main St"/>
    <x v="0"/>
    <x v="3"/>
    <s v="TRK86246309"/>
    <n v="3"/>
    <s v="SAVE10"/>
    <x v="1"/>
    <n v="321.95999999999998"/>
    <n v="321.95999999999998"/>
    <x v="6"/>
    <s v="Q2"/>
    <x v="1"/>
    <s v="Completed"/>
    <s v="Yes"/>
  </r>
  <r>
    <x v="957"/>
    <d v="2023-01-12T00:00:00"/>
    <s v="C73575"/>
    <x v="0"/>
    <n v="5"/>
    <n v="643.89"/>
    <s v="851 Main St"/>
    <x v="4"/>
    <x v="2"/>
    <s v="TRK23387612"/>
    <n v="8"/>
    <s v="WINTER15"/>
    <x v="3"/>
    <n v="3219.45"/>
    <n v="3219.45"/>
    <x v="0"/>
    <s v="Q1"/>
    <x v="0"/>
    <s v="Pending"/>
    <s v="Yes"/>
  </r>
  <r>
    <x v="958"/>
    <d v="2023-05-13T00:00:00"/>
    <s v="C82685"/>
    <x v="6"/>
    <n v="3"/>
    <n v="158.66"/>
    <s v="537 Main St"/>
    <x v="3"/>
    <x v="3"/>
    <s v="TRK70184320"/>
    <n v="7"/>
    <s v="WINTER15"/>
    <x v="2"/>
    <n v="475.98"/>
    <n v="475.98"/>
    <x v="4"/>
    <s v="Q2"/>
    <x v="1"/>
    <s v="Completed"/>
    <s v="Yes"/>
  </r>
  <r>
    <x v="959"/>
    <d v="2024-04-13T00:00:00"/>
    <s v="C73996"/>
    <x v="2"/>
    <n v="2"/>
    <n v="143.82"/>
    <s v="856 Main St"/>
    <x v="2"/>
    <x v="2"/>
    <s v="TRK74579570"/>
    <n v="6"/>
    <s v="SAVE10"/>
    <x v="0"/>
    <n v="287.64"/>
    <n v="287.64"/>
    <x v="6"/>
    <s v="Q2"/>
    <x v="1"/>
    <s v="Pending"/>
    <s v="Yes"/>
  </r>
  <r>
    <x v="960"/>
    <d v="2023-12-11T00:00:00"/>
    <s v="C87687"/>
    <x v="5"/>
    <n v="3"/>
    <n v="379.07"/>
    <s v="312 Main St"/>
    <x v="3"/>
    <x v="4"/>
    <s v="TRK60383805"/>
    <n v="3"/>
    <s v="WINTER15"/>
    <x v="4"/>
    <n v="1137.21"/>
    <n v="1137.21"/>
    <x v="8"/>
    <s v="Q4"/>
    <x v="0"/>
    <s v="Pending"/>
    <s v="Yes"/>
  </r>
  <r>
    <x v="961"/>
    <d v="2024-11-11T00:00:00"/>
    <s v="C55464"/>
    <x v="1"/>
    <n v="1"/>
    <n v="601.36"/>
    <s v="532 Main St"/>
    <x v="1"/>
    <x v="0"/>
    <s v="TRK81178598"/>
    <n v="1"/>
    <m/>
    <x v="3"/>
    <n v="601.36"/>
    <n v="601.36"/>
    <x v="7"/>
    <s v="Q4"/>
    <x v="0"/>
    <s v="Pending"/>
    <s v="No"/>
  </r>
  <r>
    <x v="962"/>
    <d v="2024-09-06T00:00:00"/>
    <s v="C12459"/>
    <x v="1"/>
    <n v="2"/>
    <n v="142.08000000000001"/>
    <s v="838 Main St"/>
    <x v="3"/>
    <x v="3"/>
    <s v="TRK30674085"/>
    <n v="4"/>
    <s v="SAVE10"/>
    <x v="1"/>
    <n v="284.16000000000003"/>
    <n v="284.16000000000003"/>
    <x v="11"/>
    <s v="Q3"/>
    <x v="1"/>
    <s v="Completed"/>
    <s v="Yes"/>
  </r>
  <r>
    <x v="963"/>
    <d v="2024-03-11T00:00:00"/>
    <s v="C88075"/>
    <x v="3"/>
    <n v="5"/>
    <n v="530.34"/>
    <s v="970 Main St"/>
    <x v="1"/>
    <x v="0"/>
    <s v="TRK42832976"/>
    <n v="9"/>
    <s v="FREESHIP"/>
    <x v="4"/>
    <n v="2651.7"/>
    <n v="2651.7000000000003"/>
    <x v="9"/>
    <s v="Q1"/>
    <x v="0"/>
    <s v="Pending"/>
    <s v="Yes"/>
  </r>
  <r>
    <x v="964"/>
    <d v="2023-08-20T00:00:00"/>
    <s v="C18583"/>
    <x v="1"/>
    <n v="5"/>
    <n v="364.42"/>
    <s v="778 Main St"/>
    <x v="2"/>
    <x v="1"/>
    <s v="TRK43084595"/>
    <n v="10"/>
    <s v="SAVE10"/>
    <x v="1"/>
    <n v="1822.1"/>
    <n v="1822.1000000000001"/>
    <x v="1"/>
    <s v="Q3"/>
    <x v="0"/>
    <s v="Pending"/>
    <s v="Yes"/>
  </r>
  <r>
    <x v="965"/>
    <d v="2025-06-18T00:00:00"/>
    <s v="C70412"/>
    <x v="5"/>
    <n v="4"/>
    <n v="578.28"/>
    <s v="791 Main St"/>
    <x v="3"/>
    <x v="1"/>
    <s v="TRK22192783"/>
    <n v="5"/>
    <s v="FREESHIP"/>
    <x v="2"/>
    <n v="2313.12"/>
    <n v="2313.12"/>
    <x v="5"/>
    <s v="Q2"/>
    <x v="0"/>
    <s v="Pending"/>
    <s v="Yes"/>
  </r>
  <r>
    <x v="966"/>
    <d v="2025-05-20T00:00:00"/>
    <s v="C58503"/>
    <x v="0"/>
    <n v="5"/>
    <n v="280.52"/>
    <s v="290 Main St"/>
    <x v="2"/>
    <x v="1"/>
    <s v="TRK12981657"/>
    <n v="7"/>
    <s v="WINTER15"/>
    <x v="3"/>
    <n v="1402.6"/>
    <n v="1402.6"/>
    <x v="4"/>
    <s v="Q2"/>
    <x v="0"/>
    <s v="Pending"/>
    <s v="Yes"/>
  </r>
  <r>
    <x v="967"/>
    <d v="2025-05-06T00:00:00"/>
    <s v="C52879"/>
    <x v="2"/>
    <n v="5"/>
    <n v="638.91999999999996"/>
    <s v="502 Main St"/>
    <x v="2"/>
    <x v="2"/>
    <s v="TRK67403284"/>
    <n v="5"/>
    <s v="FREESHIP"/>
    <x v="4"/>
    <n v="3194.6"/>
    <n v="3194.6"/>
    <x v="4"/>
    <s v="Q2"/>
    <x v="0"/>
    <s v="Pending"/>
    <s v="Yes"/>
  </r>
  <r>
    <x v="968"/>
    <d v="2024-02-08T00:00:00"/>
    <s v="C67870"/>
    <x v="0"/>
    <n v="4"/>
    <n v="412.2"/>
    <s v="664 Main St"/>
    <x v="2"/>
    <x v="0"/>
    <s v="TRK72602178"/>
    <n v="6"/>
    <s v="WINTER15"/>
    <x v="1"/>
    <n v="1648.8"/>
    <n v="1648.8"/>
    <x v="2"/>
    <s v="Q1"/>
    <x v="0"/>
    <s v="Pending"/>
    <s v="Yes"/>
  </r>
  <r>
    <x v="969"/>
    <d v="2025-06-05T00:00:00"/>
    <s v="C19439"/>
    <x v="6"/>
    <n v="1"/>
    <n v="440.34"/>
    <s v="675 Main St"/>
    <x v="3"/>
    <x v="0"/>
    <s v="TRK25383993"/>
    <n v="2"/>
    <s v="WINTER15"/>
    <x v="3"/>
    <n v="440.34"/>
    <n v="440.34"/>
    <x v="5"/>
    <s v="Q2"/>
    <x v="1"/>
    <s v="Pending"/>
    <s v="Yes"/>
  </r>
  <r>
    <x v="970"/>
    <d v="2024-09-07T00:00:00"/>
    <s v="C72664"/>
    <x v="6"/>
    <n v="1"/>
    <n v="627.15"/>
    <s v="241 Main St"/>
    <x v="4"/>
    <x v="3"/>
    <s v="TRK86694331"/>
    <n v="5"/>
    <s v="SAVE10"/>
    <x v="0"/>
    <n v="627.15"/>
    <n v="627.15"/>
    <x v="11"/>
    <s v="Q3"/>
    <x v="0"/>
    <s v="Completed"/>
    <s v="Yes"/>
  </r>
  <r>
    <x v="971"/>
    <d v="2024-05-27T00:00:00"/>
    <s v="C32650"/>
    <x v="0"/>
    <n v="2"/>
    <n v="605.26"/>
    <s v="934 Main St"/>
    <x v="4"/>
    <x v="1"/>
    <s v="TRK66648743"/>
    <n v="4"/>
    <s v="WINTER15"/>
    <x v="1"/>
    <n v="1210.52"/>
    <n v="1210.52"/>
    <x v="4"/>
    <s v="Q2"/>
    <x v="0"/>
    <s v="Pending"/>
    <s v="Yes"/>
  </r>
  <r>
    <x v="972"/>
    <d v="2024-06-09T00:00:00"/>
    <s v="C66438"/>
    <x v="5"/>
    <n v="1"/>
    <n v="90.27"/>
    <s v="816 Main St"/>
    <x v="4"/>
    <x v="3"/>
    <s v="TRK32035271"/>
    <n v="5"/>
    <s v="SAVE10"/>
    <x v="3"/>
    <n v="90.27"/>
    <n v="90.27"/>
    <x v="5"/>
    <s v="Q2"/>
    <x v="2"/>
    <s v="Completed"/>
    <s v="Yes"/>
  </r>
  <r>
    <x v="973"/>
    <d v="2025-06-09T00:00:00"/>
    <s v="C70010"/>
    <x v="6"/>
    <n v="5"/>
    <n v="230.77"/>
    <s v="141 Main St"/>
    <x v="1"/>
    <x v="4"/>
    <s v="TRK50594008"/>
    <n v="10"/>
    <s v="WINTER15"/>
    <x v="1"/>
    <n v="1153.8499999999999"/>
    <n v="1153.8500000000001"/>
    <x v="5"/>
    <s v="Q2"/>
    <x v="0"/>
    <s v="Pending"/>
    <s v="Yes"/>
  </r>
  <r>
    <x v="974"/>
    <d v="2023-09-27T00:00:00"/>
    <s v="C30722"/>
    <x v="6"/>
    <n v="5"/>
    <n v="266.77999999999997"/>
    <s v="274 Main St"/>
    <x v="3"/>
    <x v="1"/>
    <s v="TRK52088168"/>
    <n v="5"/>
    <m/>
    <x v="2"/>
    <n v="1333.9"/>
    <n v="1333.8999999999999"/>
    <x v="11"/>
    <s v="Q3"/>
    <x v="0"/>
    <s v="Pending"/>
    <s v="No"/>
  </r>
  <r>
    <x v="975"/>
    <d v="2023-05-18T00:00:00"/>
    <s v="C70529"/>
    <x v="6"/>
    <n v="1"/>
    <n v="105.92"/>
    <s v="974 Main St"/>
    <x v="3"/>
    <x v="2"/>
    <s v="TRK82165408"/>
    <n v="6"/>
    <s v="SAVE10"/>
    <x v="2"/>
    <n v="105.92"/>
    <n v="105.92"/>
    <x v="4"/>
    <s v="Q2"/>
    <x v="1"/>
    <s v="Pending"/>
    <s v="Yes"/>
  </r>
  <r>
    <x v="976"/>
    <d v="2024-04-04T00:00:00"/>
    <s v="C18984"/>
    <x v="2"/>
    <n v="3"/>
    <n v="589.29999999999995"/>
    <s v="650 Main St"/>
    <x v="2"/>
    <x v="2"/>
    <s v="TRK49298239"/>
    <n v="6"/>
    <s v="WINTER15"/>
    <x v="1"/>
    <n v="1767.9"/>
    <n v="1767.8999999999999"/>
    <x v="6"/>
    <s v="Q2"/>
    <x v="0"/>
    <s v="Pending"/>
    <s v="Yes"/>
  </r>
  <r>
    <x v="977"/>
    <d v="2023-01-28T00:00:00"/>
    <s v="C85841"/>
    <x v="3"/>
    <n v="4"/>
    <n v="649.47"/>
    <s v="608 Main St"/>
    <x v="4"/>
    <x v="4"/>
    <s v="TRK99820544"/>
    <n v="8"/>
    <s v="SAVE10"/>
    <x v="4"/>
    <n v="2597.88"/>
    <n v="2597.88"/>
    <x v="0"/>
    <s v="Q1"/>
    <x v="0"/>
    <s v="Pending"/>
    <s v="Yes"/>
  </r>
  <r>
    <x v="978"/>
    <d v="2024-06-25T00:00:00"/>
    <s v="C41508"/>
    <x v="4"/>
    <n v="4"/>
    <n v="107.49"/>
    <s v="993 Main St"/>
    <x v="4"/>
    <x v="3"/>
    <s v="TRK61047536"/>
    <n v="5"/>
    <m/>
    <x v="4"/>
    <n v="429.96"/>
    <n v="429.96"/>
    <x v="5"/>
    <s v="Q2"/>
    <x v="1"/>
    <s v="Completed"/>
    <s v="No"/>
  </r>
  <r>
    <x v="979"/>
    <d v="2023-05-31T00:00:00"/>
    <s v="C75018"/>
    <x v="0"/>
    <n v="3"/>
    <n v="669.06"/>
    <s v="299 Main St"/>
    <x v="4"/>
    <x v="3"/>
    <s v="TRK51794806"/>
    <n v="7"/>
    <s v="SAVE10"/>
    <x v="3"/>
    <n v="2007.18"/>
    <n v="2007.1799999999998"/>
    <x v="4"/>
    <s v="Q2"/>
    <x v="0"/>
    <s v="Completed"/>
    <s v="Yes"/>
  </r>
  <r>
    <x v="980"/>
    <d v="2023-10-14T00:00:00"/>
    <s v="C84320"/>
    <x v="3"/>
    <n v="3"/>
    <n v="69.650000000000006"/>
    <s v="107 Main St"/>
    <x v="4"/>
    <x v="3"/>
    <s v="TRK81093218"/>
    <n v="7"/>
    <s v="WINTER15"/>
    <x v="0"/>
    <n v="208.95"/>
    <n v="208.95000000000002"/>
    <x v="3"/>
    <s v="Q4"/>
    <x v="1"/>
    <s v="Completed"/>
    <s v="Yes"/>
  </r>
  <r>
    <x v="981"/>
    <d v="2023-11-26T00:00:00"/>
    <s v="C12609"/>
    <x v="1"/>
    <n v="4"/>
    <n v="136.83000000000001"/>
    <s v="490 Main St"/>
    <x v="0"/>
    <x v="4"/>
    <s v="TRK56379337"/>
    <n v="8"/>
    <s v="SAVE10"/>
    <x v="2"/>
    <n v="547.32000000000005"/>
    <n v="547.32000000000005"/>
    <x v="7"/>
    <s v="Q4"/>
    <x v="0"/>
    <s v="Pending"/>
    <s v="Yes"/>
  </r>
  <r>
    <x v="982"/>
    <d v="2024-09-06T00:00:00"/>
    <s v="C64935"/>
    <x v="0"/>
    <n v="1"/>
    <n v="304.11"/>
    <s v="707 Main St"/>
    <x v="3"/>
    <x v="0"/>
    <s v="TRK42969065"/>
    <n v="2"/>
    <s v="SAVE10"/>
    <x v="1"/>
    <n v="304.11"/>
    <n v="304.11"/>
    <x v="11"/>
    <s v="Q3"/>
    <x v="1"/>
    <s v="Pending"/>
    <s v="Yes"/>
  </r>
  <r>
    <x v="983"/>
    <d v="2024-11-24T00:00:00"/>
    <s v="C67528"/>
    <x v="0"/>
    <n v="4"/>
    <n v="296.27999999999997"/>
    <s v="110 Main St"/>
    <x v="3"/>
    <x v="0"/>
    <s v="TRK60865210"/>
    <n v="5"/>
    <s v="SAVE10"/>
    <x v="2"/>
    <n v="1185.1199999999999"/>
    <n v="1185.1199999999999"/>
    <x v="7"/>
    <s v="Q4"/>
    <x v="0"/>
    <s v="Pending"/>
    <s v="Yes"/>
  </r>
  <r>
    <x v="984"/>
    <d v="2025-02-28T00:00:00"/>
    <s v="C44176"/>
    <x v="6"/>
    <n v="1"/>
    <n v="77.64"/>
    <s v="706 Main St"/>
    <x v="2"/>
    <x v="0"/>
    <s v="TRK68704764"/>
    <n v="1"/>
    <s v="FREESHIP"/>
    <x v="3"/>
    <n v="77.64"/>
    <n v="77.64"/>
    <x v="2"/>
    <s v="Q1"/>
    <x v="2"/>
    <s v="Pending"/>
    <s v="Yes"/>
  </r>
  <r>
    <x v="985"/>
    <d v="2024-07-20T00:00:00"/>
    <s v="C92788"/>
    <x v="6"/>
    <n v="1"/>
    <n v="243.71"/>
    <s v="948 Main St"/>
    <x v="3"/>
    <x v="3"/>
    <s v="TRK83835361"/>
    <n v="6"/>
    <s v="SAVE10"/>
    <x v="4"/>
    <n v="243.71"/>
    <n v="243.71"/>
    <x v="10"/>
    <s v="Q3"/>
    <x v="1"/>
    <s v="Completed"/>
    <s v="Yes"/>
  </r>
  <r>
    <x v="986"/>
    <d v="2024-09-07T00:00:00"/>
    <s v="C69213"/>
    <x v="5"/>
    <n v="4"/>
    <n v="644.96"/>
    <s v="533 Main St"/>
    <x v="2"/>
    <x v="4"/>
    <s v="TRK67837331"/>
    <n v="7"/>
    <s v="FREESHIP"/>
    <x v="2"/>
    <n v="2579.84"/>
    <n v="2579.84"/>
    <x v="11"/>
    <s v="Q3"/>
    <x v="0"/>
    <s v="Pending"/>
    <s v="Yes"/>
  </r>
  <r>
    <x v="987"/>
    <d v="2025-06-05T00:00:00"/>
    <s v="C67387"/>
    <x v="1"/>
    <n v="5"/>
    <n v="283.73"/>
    <s v="436 Main St"/>
    <x v="3"/>
    <x v="4"/>
    <s v="TRK54120003"/>
    <n v="8"/>
    <s v="FREESHIP"/>
    <x v="0"/>
    <n v="1418.65"/>
    <n v="1418.65"/>
    <x v="5"/>
    <s v="Q2"/>
    <x v="0"/>
    <s v="Pending"/>
    <s v="Yes"/>
  </r>
  <r>
    <x v="988"/>
    <d v="2025-02-04T00:00:00"/>
    <s v="C90318"/>
    <x v="6"/>
    <n v="2"/>
    <n v="629.55999999999995"/>
    <s v="818 Main St"/>
    <x v="3"/>
    <x v="1"/>
    <s v="TRK52765043"/>
    <n v="5"/>
    <s v="WINTER15"/>
    <x v="0"/>
    <n v="1259.1199999999999"/>
    <n v="1259.1199999999999"/>
    <x v="2"/>
    <s v="Q1"/>
    <x v="0"/>
    <s v="Pending"/>
    <s v="Yes"/>
  </r>
  <r>
    <x v="989"/>
    <d v="2023-03-23T00:00:00"/>
    <s v="C49995"/>
    <x v="5"/>
    <n v="4"/>
    <n v="246.11"/>
    <s v="559 Main St"/>
    <x v="2"/>
    <x v="4"/>
    <s v="TRK33212013"/>
    <n v="4"/>
    <s v="SAVE10"/>
    <x v="0"/>
    <n v="984.44"/>
    <n v="984.44"/>
    <x v="9"/>
    <s v="Q1"/>
    <x v="0"/>
    <s v="Pending"/>
    <s v="Yes"/>
  </r>
  <r>
    <x v="990"/>
    <d v="2023-11-19T00:00:00"/>
    <s v="C52313"/>
    <x v="1"/>
    <n v="2"/>
    <n v="418.26"/>
    <s v="913 Main St"/>
    <x v="0"/>
    <x v="4"/>
    <s v="TRK67368559"/>
    <n v="2"/>
    <s v="SAVE10"/>
    <x v="4"/>
    <n v="836.52"/>
    <n v="836.52"/>
    <x v="7"/>
    <s v="Q4"/>
    <x v="0"/>
    <s v="Pending"/>
    <s v="Yes"/>
  </r>
  <r>
    <x v="991"/>
    <d v="2024-05-09T00:00:00"/>
    <s v="C10211"/>
    <x v="6"/>
    <n v="5"/>
    <n v="127.18"/>
    <s v="598 Main St"/>
    <x v="0"/>
    <x v="1"/>
    <s v="TRK68938335"/>
    <n v="10"/>
    <s v="FREESHIP"/>
    <x v="4"/>
    <n v="635.90000000000009"/>
    <n v="635.90000000000009"/>
    <x v="4"/>
    <s v="Q2"/>
    <x v="0"/>
    <s v="Pending"/>
    <s v="Yes"/>
  </r>
  <r>
    <x v="992"/>
    <d v="2024-08-27T00:00:00"/>
    <s v="C97907"/>
    <x v="4"/>
    <n v="3"/>
    <n v="586.21"/>
    <s v="933 Main St"/>
    <x v="3"/>
    <x v="4"/>
    <s v="TRK89637569"/>
    <n v="4"/>
    <s v="WINTER15"/>
    <x v="1"/>
    <n v="1758.63"/>
    <n v="1758.63"/>
    <x v="1"/>
    <s v="Q3"/>
    <x v="0"/>
    <s v="Pending"/>
    <s v="Yes"/>
  </r>
  <r>
    <x v="993"/>
    <d v="2024-04-06T00:00:00"/>
    <s v="C61384"/>
    <x v="0"/>
    <n v="3"/>
    <n v="267.45"/>
    <s v="576 Main St"/>
    <x v="3"/>
    <x v="3"/>
    <s v="TRK33323210"/>
    <n v="5"/>
    <s v="WINTER15"/>
    <x v="0"/>
    <n v="802.34999999999991"/>
    <n v="802.34999999999991"/>
    <x v="6"/>
    <s v="Q2"/>
    <x v="0"/>
    <s v="Completed"/>
    <s v="Yes"/>
  </r>
  <r>
    <x v="994"/>
    <d v="2024-06-27T00:00:00"/>
    <s v="C27613"/>
    <x v="2"/>
    <n v="4"/>
    <n v="615.65"/>
    <s v="971 Main St"/>
    <x v="0"/>
    <x v="3"/>
    <s v="TRK63701318"/>
    <n v="9"/>
    <s v="WINTER15"/>
    <x v="4"/>
    <n v="2462.6"/>
    <n v="2462.6"/>
    <x v="5"/>
    <s v="Q2"/>
    <x v="0"/>
    <s v="Completed"/>
    <s v="Yes"/>
  </r>
  <r>
    <x v="995"/>
    <d v="2023-11-18T00:00:00"/>
    <s v="C99271"/>
    <x v="0"/>
    <n v="2"/>
    <n v="113.29"/>
    <s v="959 Main St"/>
    <x v="4"/>
    <x v="4"/>
    <s v="TRK87832736"/>
    <n v="5"/>
    <s v="SAVE10"/>
    <x v="3"/>
    <n v="226.58"/>
    <n v="226.58"/>
    <x v="7"/>
    <s v="Q4"/>
    <x v="1"/>
    <s v="Pending"/>
    <s v="Yes"/>
  </r>
  <r>
    <x v="996"/>
    <d v="2024-04-28T00:00:00"/>
    <s v="C28648"/>
    <x v="0"/>
    <n v="4"/>
    <n v="473.86"/>
    <s v="101 Main St"/>
    <x v="0"/>
    <x v="3"/>
    <s v="TRK92240846"/>
    <n v="7"/>
    <s v="SAVE10"/>
    <x v="3"/>
    <n v="1895.44"/>
    <n v="1895.44"/>
    <x v="6"/>
    <s v="Q2"/>
    <x v="0"/>
    <s v="Completed"/>
    <s v="Yes"/>
  </r>
  <r>
    <x v="997"/>
    <d v="2023-11-27T00:00:00"/>
    <s v="C26210"/>
    <x v="5"/>
    <n v="3"/>
    <n v="444.75"/>
    <s v="805 Main St"/>
    <x v="4"/>
    <x v="3"/>
    <s v="TRK40616861"/>
    <n v="6"/>
    <s v="SAVE10"/>
    <x v="3"/>
    <n v="1334.25"/>
    <n v="1334.25"/>
    <x v="7"/>
    <s v="Q4"/>
    <x v="0"/>
    <s v="Completed"/>
    <s v="Yes"/>
  </r>
  <r>
    <x v="998"/>
    <d v="2023-05-19T00:00:00"/>
    <s v="C90350"/>
    <x v="1"/>
    <n v="2"/>
    <n v="183.67"/>
    <s v="783 Main St"/>
    <x v="0"/>
    <x v="1"/>
    <s v="TRK22824230"/>
    <n v="6"/>
    <s v="SAVE10"/>
    <x v="4"/>
    <n v="367.34"/>
    <n v="367.34"/>
    <x v="4"/>
    <s v="Q2"/>
    <x v="1"/>
    <s v="Pending"/>
    <s v="Yes"/>
  </r>
  <r>
    <x v="999"/>
    <d v="2023-12-24T00:00:00"/>
    <s v="C61957"/>
    <x v="4"/>
    <n v="1"/>
    <n v="483.38"/>
    <s v="652 Main St"/>
    <x v="4"/>
    <x v="4"/>
    <s v="TRK43983841"/>
    <n v="6"/>
    <s v="FREESHIP"/>
    <x v="4"/>
    <n v="483.38"/>
    <n v="483.38"/>
    <x v="8"/>
    <s v="Q4"/>
    <x v="1"/>
    <s v="Pending"/>
    <s v="Yes"/>
  </r>
  <r>
    <x v="1000"/>
    <d v="2023-06-21T00:00:00"/>
    <s v="C90132"/>
    <x v="4"/>
    <n v="5"/>
    <n v="260.93"/>
    <s v="582 Main St"/>
    <x v="1"/>
    <x v="3"/>
    <s v="TRK52664903"/>
    <n v="9"/>
    <s v="SAVE10"/>
    <x v="2"/>
    <n v="1304.6500000000001"/>
    <n v="1304.6500000000001"/>
    <x v="5"/>
    <s v="Q2"/>
    <x v="0"/>
    <s v="Completed"/>
    <s v="Yes"/>
  </r>
  <r>
    <x v="1001"/>
    <d v="2023-12-08T00:00:00"/>
    <s v="C31371"/>
    <x v="4"/>
    <n v="2"/>
    <n v="253.68"/>
    <s v="122 Main St"/>
    <x v="3"/>
    <x v="0"/>
    <s v="TRK19554327"/>
    <n v="6"/>
    <m/>
    <x v="1"/>
    <n v="507.36"/>
    <n v="507.36"/>
    <x v="8"/>
    <s v="Q4"/>
    <x v="0"/>
    <s v="Pending"/>
    <s v="No"/>
  </r>
  <r>
    <x v="1002"/>
    <d v="2025-06-19T00:00:00"/>
    <s v="C83911"/>
    <x v="2"/>
    <n v="4"/>
    <n v="699.88"/>
    <s v="944 Main St"/>
    <x v="4"/>
    <x v="4"/>
    <s v="TRK33188106"/>
    <n v="5"/>
    <s v="WINTER15"/>
    <x v="1"/>
    <n v="2799.52"/>
    <n v="2799.52"/>
    <x v="5"/>
    <s v="Q2"/>
    <x v="0"/>
    <s v="Pending"/>
    <s v="Yes"/>
  </r>
  <r>
    <x v="1003"/>
    <d v="2023-01-11T00:00:00"/>
    <s v="C84700"/>
    <x v="4"/>
    <n v="5"/>
    <n v="319.97000000000003"/>
    <s v="582 Main St"/>
    <x v="4"/>
    <x v="0"/>
    <s v="TRK14706969"/>
    <n v="7"/>
    <s v="SAVE10"/>
    <x v="4"/>
    <n v="1599.85"/>
    <n v="1599.8500000000001"/>
    <x v="0"/>
    <s v="Q1"/>
    <x v="0"/>
    <s v="Pending"/>
    <s v="Yes"/>
  </r>
  <r>
    <x v="1004"/>
    <d v="2025-06-09T00:00:00"/>
    <s v="C87529"/>
    <x v="3"/>
    <n v="4"/>
    <n v="246.91"/>
    <s v="296 Main St"/>
    <x v="1"/>
    <x v="4"/>
    <s v="TRK15739505"/>
    <n v="8"/>
    <s v="SAVE10"/>
    <x v="1"/>
    <n v="987.64"/>
    <n v="987.64"/>
    <x v="5"/>
    <s v="Q2"/>
    <x v="0"/>
    <s v="Pending"/>
    <s v="Yes"/>
  </r>
  <r>
    <x v="1005"/>
    <d v="2023-03-02T00:00:00"/>
    <s v="C38065"/>
    <x v="4"/>
    <n v="3"/>
    <n v="392.85"/>
    <s v="426 Main St"/>
    <x v="2"/>
    <x v="2"/>
    <s v="TRK11448295"/>
    <n v="6"/>
    <m/>
    <x v="4"/>
    <n v="1178.55"/>
    <n v="1178.5500000000002"/>
    <x v="9"/>
    <s v="Q1"/>
    <x v="0"/>
    <s v="Pending"/>
    <s v="No"/>
  </r>
  <r>
    <x v="1006"/>
    <d v="2024-05-27T00:00:00"/>
    <s v="C27435"/>
    <x v="2"/>
    <n v="5"/>
    <n v="420.98"/>
    <s v="860 Main St"/>
    <x v="4"/>
    <x v="3"/>
    <s v="TRK91458233"/>
    <n v="7"/>
    <s v="SAVE10"/>
    <x v="3"/>
    <n v="2104.9"/>
    <n v="2104.9"/>
    <x v="4"/>
    <s v="Q2"/>
    <x v="0"/>
    <s v="Completed"/>
    <s v="Yes"/>
  </r>
  <r>
    <x v="1007"/>
    <d v="2024-03-20T00:00:00"/>
    <s v="C46651"/>
    <x v="0"/>
    <n v="2"/>
    <n v="73.260000000000005"/>
    <s v="839 Main St"/>
    <x v="4"/>
    <x v="4"/>
    <s v="TRK60444502"/>
    <n v="4"/>
    <s v="WINTER15"/>
    <x v="3"/>
    <n v="146.52000000000001"/>
    <n v="146.52000000000001"/>
    <x v="9"/>
    <s v="Q1"/>
    <x v="1"/>
    <s v="Pending"/>
    <s v="Yes"/>
  </r>
  <r>
    <x v="1008"/>
    <d v="2023-01-13T00:00:00"/>
    <s v="C62557"/>
    <x v="0"/>
    <n v="3"/>
    <n v="410.88"/>
    <s v="257 Main St"/>
    <x v="4"/>
    <x v="3"/>
    <s v="TRK12742366"/>
    <n v="8"/>
    <s v="FREESHIP"/>
    <x v="0"/>
    <n v="1232.6400000000001"/>
    <n v="1232.6399999999999"/>
    <x v="0"/>
    <s v="Q1"/>
    <x v="0"/>
    <s v="Completed"/>
    <s v="Yes"/>
  </r>
  <r>
    <x v="1009"/>
    <d v="2023-09-02T00:00:00"/>
    <s v="C54494"/>
    <x v="2"/>
    <n v="2"/>
    <n v="176.46"/>
    <s v="696 Main St"/>
    <x v="2"/>
    <x v="3"/>
    <s v="TRK95958645"/>
    <n v="2"/>
    <s v="FREESHIP"/>
    <x v="2"/>
    <n v="352.92"/>
    <n v="352.92"/>
    <x v="11"/>
    <s v="Q3"/>
    <x v="1"/>
    <s v="Completed"/>
    <s v="Yes"/>
  </r>
  <r>
    <x v="1010"/>
    <d v="2023-03-31T00:00:00"/>
    <s v="C33729"/>
    <x v="0"/>
    <n v="3"/>
    <n v="659.57"/>
    <s v="533 Main St"/>
    <x v="2"/>
    <x v="1"/>
    <s v="TRK35649833"/>
    <n v="6"/>
    <s v="SAVE10"/>
    <x v="2"/>
    <n v="1978.71"/>
    <n v="1978.71"/>
    <x v="9"/>
    <s v="Q1"/>
    <x v="0"/>
    <s v="Pending"/>
    <s v="Yes"/>
  </r>
  <r>
    <x v="1011"/>
    <d v="2024-12-03T00:00:00"/>
    <s v="C47823"/>
    <x v="1"/>
    <n v="2"/>
    <n v="478.36"/>
    <s v="654 Main St"/>
    <x v="1"/>
    <x v="0"/>
    <s v="TRK22271097"/>
    <n v="3"/>
    <m/>
    <x v="4"/>
    <n v="956.72"/>
    <n v="956.72"/>
    <x v="8"/>
    <s v="Q4"/>
    <x v="0"/>
    <s v="Pending"/>
    <s v="No"/>
  </r>
  <r>
    <x v="1012"/>
    <d v="2024-12-03T00:00:00"/>
    <s v="C84570"/>
    <x v="4"/>
    <n v="4"/>
    <n v="30.05"/>
    <s v="301 Main St"/>
    <x v="1"/>
    <x v="2"/>
    <s v="TRK12551882"/>
    <n v="6"/>
    <m/>
    <x v="3"/>
    <n v="120.2"/>
    <n v="120.2"/>
    <x v="8"/>
    <s v="Q4"/>
    <x v="1"/>
    <s v="Pending"/>
    <s v="No"/>
  </r>
  <r>
    <x v="1013"/>
    <d v="2025-04-26T00:00:00"/>
    <s v="C91123"/>
    <x v="5"/>
    <n v="4"/>
    <n v="300.56"/>
    <s v="842 Main St"/>
    <x v="4"/>
    <x v="1"/>
    <s v="TRK49568409"/>
    <n v="9"/>
    <s v="FREESHIP"/>
    <x v="3"/>
    <n v="1202.24"/>
    <n v="1202.24"/>
    <x v="6"/>
    <s v="Q2"/>
    <x v="0"/>
    <s v="Pending"/>
    <s v="Yes"/>
  </r>
  <r>
    <x v="1014"/>
    <d v="2024-02-04T00:00:00"/>
    <s v="C92548"/>
    <x v="2"/>
    <n v="5"/>
    <n v="226.45"/>
    <s v="160 Main St"/>
    <x v="0"/>
    <x v="2"/>
    <s v="TRK21682892"/>
    <n v="6"/>
    <s v="FREESHIP"/>
    <x v="2"/>
    <n v="1132.25"/>
    <n v="1132.25"/>
    <x v="2"/>
    <s v="Q1"/>
    <x v="0"/>
    <s v="Pending"/>
    <s v="Yes"/>
  </r>
  <r>
    <x v="1015"/>
    <d v="2024-01-26T00:00:00"/>
    <s v="C97454"/>
    <x v="4"/>
    <n v="2"/>
    <n v="349.4"/>
    <s v="892 Main St"/>
    <x v="1"/>
    <x v="0"/>
    <s v="TRK73249329"/>
    <n v="2"/>
    <s v="SAVE10"/>
    <x v="0"/>
    <n v="698.8"/>
    <n v="698.8"/>
    <x v="0"/>
    <s v="Q1"/>
    <x v="0"/>
    <s v="Pending"/>
    <s v="Yes"/>
  </r>
  <r>
    <x v="1016"/>
    <d v="2023-12-29T00:00:00"/>
    <s v="C20257"/>
    <x v="2"/>
    <n v="5"/>
    <n v="268.77999999999997"/>
    <s v="669 Main St"/>
    <x v="0"/>
    <x v="3"/>
    <s v="TRK62135578"/>
    <n v="7"/>
    <s v="WINTER15"/>
    <x v="2"/>
    <n v="1343.9"/>
    <n v="1343.8999999999999"/>
    <x v="8"/>
    <s v="Q4"/>
    <x v="0"/>
    <s v="Completed"/>
    <s v="Yes"/>
  </r>
  <r>
    <x v="1017"/>
    <d v="2024-08-25T00:00:00"/>
    <s v="C51694"/>
    <x v="3"/>
    <n v="2"/>
    <n v="680.85"/>
    <s v="953 Main St"/>
    <x v="3"/>
    <x v="3"/>
    <s v="TRK83122112"/>
    <n v="6"/>
    <s v="FREESHIP"/>
    <x v="1"/>
    <n v="1361.7"/>
    <n v="1361.7"/>
    <x v="1"/>
    <s v="Q3"/>
    <x v="0"/>
    <s v="Completed"/>
    <s v="Yes"/>
  </r>
  <r>
    <x v="1018"/>
    <d v="2023-07-08T00:00:00"/>
    <s v="C77499"/>
    <x v="5"/>
    <n v="3"/>
    <n v="182.48"/>
    <s v="209 Main St"/>
    <x v="4"/>
    <x v="3"/>
    <s v="TRK20703086"/>
    <n v="3"/>
    <m/>
    <x v="0"/>
    <n v="547.43999999999994"/>
    <n v="547.43999999999994"/>
    <x v="10"/>
    <s v="Q3"/>
    <x v="0"/>
    <s v="Completed"/>
    <s v="No"/>
  </r>
  <r>
    <x v="1019"/>
    <d v="2024-04-06T00:00:00"/>
    <s v="C28386"/>
    <x v="6"/>
    <n v="1"/>
    <n v="277.08999999999997"/>
    <s v="293 Main St"/>
    <x v="4"/>
    <x v="2"/>
    <s v="TRK32954229"/>
    <n v="2"/>
    <s v="SAVE10"/>
    <x v="1"/>
    <n v="277.08999999999997"/>
    <n v="277.08999999999997"/>
    <x v="6"/>
    <s v="Q2"/>
    <x v="1"/>
    <s v="Pending"/>
    <s v="Yes"/>
  </r>
  <r>
    <x v="1020"/>
    <d v="2024-04-22T00:00:00"/>
    <s v="C50211"/>
    <x v="2"/>
    <n v="2"/>
    <n v="26.5"/>
    <s v="312 Main St"/>
    <x v="1"/>
    <x v="3"/>
    <s v="TRK47787981"/>
    <n v="3"/>
    <s v="SAVE10"/>
    <x v="0"/>
    <n v="53"/>
    <n v="53"/>
    <x v="6"/>
    <s v="Q2"/>
    <x v="2"/>
    <s v="Completed"/>
    <s v="Yes"/>
  </r>
  <r>
    <x v="1021"/>
    <d v="2023-10-23T00:00:00"/>
    <s v="C74519"/>
    <x v="1"/>
    <n v="3"/>
    <n v="315.27"/>
    <s v="309 Main St"/>
    <x v="2"/>
    <x v="1"/>
    <s v="TRK97351945"/>
    <n v="4"/>
    <s v="SAVE10"/>
    <x v="2"/>
    <n v="945.81"/>
    <n v="945.81"/>
    <x v="3"/>
    <s v="Q4"/>
    <x v="0"/>
    <s v="Pending"/>
    <s v="Yes"/>
  </r>
  <r>
    <x v="1022"/>
    <d v="2025-02-24T00:00:00"/>
    <s v="C19071"/>
    <x v="2"/>
    <n v="3"/>
    <n v="450.98"/>
    <s v="396 Main St"/>
    <x v="2"/>
    <x v="0"/>
    <s v="TRK66537096"/>
    <n v="8"/>
    <s v="SAVE10"/>
    <x v="1"/>
    <n v="1352.94"/>
    <n v="1352.94"/>
    <x v="2"/>
    <s v="Q1"/>
    <x v="0"/>
    <s v="Pending"/>
    <s v="Yes"/>
  </r>
  <r>
    <x v="1023"/>
    <d v="2024-09-23T00:00:00"/>
    <s v="C65251"/>
    <x v="5"/>
    <n v="5"/>
    <n v="233.67"/>
    <s v="291 Main St"/>
    <x v="4"/>
    <x v="0"/>
    <s v="TRK32059025"/>
    <n v="10"/>
    <m/>
    <x v="1"/>
    <n v="1168.3499999999999"/>
    <n v="1168.3499999999999"/>
    <x v="11"/>
    <s v="Q3"/>
    <x v="0"/>
    <s v="Pending"/>
    <s v="No"/>
  </r>
  <r>
    <x v="1024"/>
    <d v="2024-01-29T00:00:00"/>
    <s v="C90612"/>
    <x v="3"/>
    <n v="3"/>
    <n v="367.75"/>
    <s v="731 Main St"/>
    <x v="4"/>
    <x v="4"/>
    <s v="TRK93022878"/>
    <n v="7"/>
    <s v="FREESHIP"/>
    <x v="3"/>
    <n v="1103.25"/>
    <n v="1103.25"/>
    <x v="0"/>
    <s v="Q1"/>
    <x v="0"/>
    <s v="Pending"/>
    <s v="Yes"/>
  </r>
  <r>
    <x v="1025"/>
    <d v="2025-05-17T00:00:00"/>
    <s v="C28406"/>
    <x v="3"/>
    <n v="1"/>
    <n v="23.53"/>
    <s v="174 Main St"/>
    <x v="3"/>
    <x v="3"/>
    <s v="TRK98841457"/>
    <n v="2"/>
    <s v="FREESHIP"/>
    <x v="0"/>
    <n v="23.53"/>
    <n v="23.53"/>
    <x v="4"/>
    <s v="Q2"/>
    <x v="2"/>
    <s v="Completed"/>
    <s v="Yes"/>
  </r>
  <r>
    <x v="1026"/>
    <d v="2023-05-01T00:00:00"/>
    <s v="C55454"/>
    <x v="0"/>
    <n v="1"/>
    <n v="677.48"/>
    <s v="807 Main St"/>
    <x v="1"/>
    <x v="3"/>
    <s v="TRK13281370"/>
    <n v="1"/>
    <s v="WINTER15"/>
    <x v="3"/>
    <n v="677.48"/>
    <n v="677.48"/>
    <x v="4"/>
    <s v="Q2"/>
    <x v="0"/>
    <s v="Completed"/>
    <s v="Yes"/>
  </r>
  <r>
    <x v="1027"/>
    <d v="2024-05-21T00:00:00"/>
    <s v="C93467"/>
    <x v="5"/>
    <n v="4"/>
    <n v="554.83000000000004"/>
    <s v="983 Main St"/>
    <x v="4"/>
    <x v="2"/>
    <s v="TRK77377373"/>
    <n v="6"/>
    <m/>
    <x v="4"/>
    <n v="2219.3200000000002"/>
    <n v="2219.3200000000002"/>
    <x v="4"/>
    <s v="Q2"/>
    <x v="0"/>
    <s v="Pending"/>
    <s v="No"/>
  </r>
  <r>
    <x v="1028"/>
    <d v="2023-02-17T00:00:00"/>
    <s v="C60042"/>
    <x v="6"/>
    <n v="4"/>
    <n v="440.31"/>
    <s v="610 Main St"/>
    <x v="4"/>
    <x v="1"/>
    <s v="TRK84651559"/>
    <n v="6"/>
    <m/>
    <x v="0"/>
    <n v="1761.24"/>
    <n v="1761.24"/>
    <x v="2"/>
    <s v="Q1"/>
    <x v="0"/>
    <s v="Pending"/>
    <s v="No"/>
  </r>
  <r>
    <x v="1029"/>
    <d v="2025-03-01T00:00:00"/>
    <s v="C44733"/>
    <x v="6"/>
    <n v="1"/>
    <n v="87.06"/>
    <s v="851 Main St"/>
    <x v="2"/>
    <x v="0"/>
    <s v="TRK41500198"/>
    <n v="4"/>
    <s v="FREESHIP"/>
    <x v="2"/>
    <n v="87.06"/>
    <n v="87.06"/>
    <x v="9"/>
    <s v="Q1"/>
    <x v="2"/>
    <s v="Pending"/>
    <s v="Yes"/>
  </r>
  <r>
    <x v="1030"/>
    <d v="2023-10-02T00:00:00"/>
    <s v="C61773"/>
    <x v="1"/>
    <n v="4"/>
    <n v="245.28"/>
    <s v="176 Main St"/>
    <x v="2"/>
    <x v="3"/>
    <s v="TRK12936357"/>
    <n v="6"/>
    <s v="WINTER15"/>
    <x v="2"/>
    <n v="981.12"/>
    <n v="981.12"/>
    <x v="3"/>
    <s v="Q4"/>
    <x v="0"/>
    <s v="Completed"/>
    <s v="Yes"/>
  </r>
  <r>
    <x v="1031"/>
    <d v="2023-02-28T00:00:00"/>
    <s v="C59183"/>
    <x v="1"/>
    <n v="5"/>
    <n v="664.51"/>
    <s v="136 Main St"/>
    <x v="0"/>
    <x v="4"/>
    <s v="TRK18129706"/>
    <n v="8"/>
    <s v="SAVE10"/>
    <x v="2"/>
    <n v="3322.55"/>
    <n v="3322.55"/>
    <x v="2"/>
    <s v="Q1"/>
    <x v="0"/>
    <s v="Pending"/>
    <s v="Yes"/>
  </r>
  <r>
    <x v="1032"/>
    <d v="2023-04-20T00:00:00"/>
    <s v="C26188"/>
    <x v="3"/>
    <n v="1"/>
    <n v="618.67999999999995"/>
    <s v="990 Main St"/>
    <x v="1"/>
    <x v="3"/>
    <s v="TRK61634201"/>
    <n v="6"/>
    <s v="WINTER15"/>
    <x v="1"/>
    <n v="618.67999999999995"/>
    <n v="618.67999999999995"/>
    <x v="6"/>
    <s v="Q2"/>
    <x v="0"/>
    <s v="Completed"/>
    <s v="Yes"/>
  </r>
  <r>
    <x v="1033"/>
    <d v="2024-12-24T00:00:00"/>
    <s v="C20338"/>
    <x v="0"/>
    <n v="1"/>
    <n v="370.85"/>
    <s v="331 Main St"/>
    <x v="3"/>
    <x v="3"/>
    <s v="TRK30654048"/>
    <n v="2"/>
    <s v="FREESHIP"/>
    <x v="1"/>
    <n v="370.85"/>
    <n v="370.85"/>
    <x v="8"/>
    <s v="Q4"/>
    <x v="1"/>
    <s v="Completed"/>
    <s v="Yes"/>
  </r>
  <r>
    <x v="1034"/>
    <d v="2024-06-16T00:00:00"/>
    <s v="C84524"/>
    <x v="4"/>
    <n v="4"/>
    <n v="517.98"/>
    <s v="766 Main St"/>
    <x v="4"/>
    <x v="1"/>
    <s v="TRK76751888"/>
    <n v="8"/>
    <s v="FREESHIP"/>
    <x v="3"/>
    <n v="2071.92"/>
    <n v="2071.92"/>
    <x v="5"/>
    <s v="Q2"/>
    <x v="0"/>
    <s v="Pending"/>
    <s v="Yes"/>
  </r>
  <r>
    <x v="1035"/>
    <d v="2023-11-12T00:00:00"/>
    <s v="C70315"/>
    <x v="5"/>
    <n v="4"/>
    <n v="506.11"/>
    <s v="911 Main St"/>
    <x v="4"/>
    <x v="1"/>
    <s v="TRK97732085"/>
    <n v="5"/>
    <m/>
    <x v="1"/>
    <n v="2024.44"/>
    <n v="2024.44"/>
    <x v="7"/>
    <s v="Q4"/>
    <x v="0"/>
    <s v="Pending"/>
    <s v="No"/>
  </r>
  <r>
    <x v="1036"/>
    <d v="2024-05-31T00:00:00"/>
    <s v="C98278"/>
    <x v="1"/>
    <n v="3"/>
    <n v="413.83"/>
    <s v="552 Main St"/>
    <x v="3"/>
    <x v="0"/>
    <s v="TRK49684737"/>
    <n v="8"/>
    <s v="SAVE10"/>
    <x v="3"/>
    <n v="1241.49"/>
    <n v="1241.49"/>
    <x v="4"/>
    <s v="Q2"/>
    <x v="0"/>
    <s v="Pending"/>
    <s v="Yes"/>
  </r>
  <r>
    <x v="1037"/>
    <d v="2023-12-13T00:00:00"/>
    <s v="C32347"/>
    <x v="4"/>
    <n v="1"/>
    <n v="249.81"/>
    <s v="408 Main St"/>
    <x v="4"/>
    <x v="4"/>
    <s v="TRK54073964"/>
    <n v="1"/>
    <s v="SAVE10"/>
    <x v="4"/>
    <n v="249.81"/>
    <n v="249.81"/>
    <x v="8"/>
    <s v="Q4"/>
    <x v="1"/>
    <s v="Pending"/>
    <s v="Yes"/>
  </r>
  <r>
    <x v="1038"/>
    <d v="2025-03-15T00:00:00"/>
    <s v="C77961"/>
    <x v="2"/>
    <n v="3"/>
    <n v="362.53"/>
    <s v="422 Main St"/>
    <x v="0"/>
    <x v="2"/>
    <s v="TRK28969024"/>
    <n v="5"/>
    <m/>
    <x v="3"/>
    <n v="1087.5899999999999"/>
    <n v="1087.5899999999999"/>
    <x v="9"/>
    <s v="Q1"/>
    <x v="0"/>
    <s v="Pending"/>
    <s v="No"/>
  </r>
  <r>
    <x v="1039"/>
    <d v="2025-06-28T00:00:00"/>
    <s v="C49137"/>
    <x v="6"/>
    <n v="2"/>
    <n v="299.23"/>
    <s v="177 Main St"/>
    <x v="2"/>
    <x v="1"/>
    <s v="TRK79362428"/>
    <n v="2"/>
    <s v="WINTER15"/>
    <x v="0"/>
    <n v="598.46"/>
    <n v="598.46"/>
    <x v="5"/>
    <s v="Q2"/>
    <x v="0"/>
    <s v="Pending"/>
    <s v="Yes"/>
  </r>
  <r>
    <x v="1040"/>
    <d v="2023-11-15T00:00:00"/>
    <s v="C13169"/>
    <x v="2"/>
    <n v="1"/>
    <n v="536.07000000000005"/>
    <s v="932 Main St"/>
    <x v="0"/>
    <x v="3"/>
    <s v="TRK66288666"/>
    <n v="5"/>
    <s v="FREESHIP"/>
    <x v="4"/>
    <n v="536.07000000000005"/>
    <n v="536.07000000000005"/>
    <x v="7"/>
    <s v="Q4"/>
    <x v="0"/>
    <s v="Completed"/>
    <s v="Yes"/>
  </r>
  <r>
    <x v="1041"/>
    <d v="2023-02-11T00:00:00"/>
    <s v="C21167"/>
    <x v="0"/>
    <n v="4"/>
    <n v="558.9"/>
    <s v="948 Main St"/>
    <x v="3"/>
    <x v="0"/>
    <s v="TRK97737564"/>
    <n v="9"/>
    <s v="WINTER15"/>
    <x v="4"/>
    <n v="2235.6"/>
    <n v="2235.6"/>
    <x v="2"/>
    <s v="Q1"/>
    <x v="0"/>
    <s v="Pending"/>
    <s v="Yes"/>
  </r>
  <r>
    <x v="1042"/>
    <d v="2024-12-09T00:00:00"/>
    <s v="C59724"/>
    <x v="2"/>
    <n v="2"/>
    <n v="409.75"/>
    <s v="414 Main St"/>
    <x v="0"/>
    <x v="0"/>
    <s v="TRK67878272"/>
    <n v="2"/>
    <s v="WINTER15"/>
    <x v="3"/>
    <n v="819.5"/>
    <n v="819.5"/>
    <x v="8"/>
    <s v="Q4"/>
    <x v="0"/>
    <s v="Pending"/>
    <s v="Yes"/>
  </r>
  <r>
    <x v="1043"/>
    <d v="2025-01-11T00:00:00"/>
    <s v="C43965"/>
    <x v="2"/>
    <n v="2"/>
    <n v="179.96"/>
    <s v="675 Main St"/>
    <x v="3"/>
    <x v="0"/>
    <s v="TRK94346739"/>
    <n v="5"/>
    <m/>
    <x v="0"/>
    <n v="359.92"/>
    <n v="359.92"/>
    <x v="0"/>
    <s v="Q1"/>
    <x v="1"/>
    <s v="Pending"/>
    <s v="No"/>
  </r>
  <r>
    <x v="1044"/>
    <d v="2025-06-22T00:00:00"/>
    <s v="C63018"/>
    <x v="4"/>
    <n v="1"/>
    <n v="38.49"/>
    <s v="215 Main St"/>
    <x v="2"/>
    <x v="3"/>
    <s v="TRK52335337"/>
    <n v="4"/>
    <s v="FREESHIP"/>
    <x v="1"/>
    <n v="38.49"/>
    <n v="38.49"/>
    <x v="5"/>
    <s v="Q2"/>
    <x v="2"/>
    <s v="Completed"/>
    <s v="Yes"/>
  </r>
  <r>
    <x v="1045"/>
    <d v="2024-09-20T00:00:00"/>
    <s v="C11893"/>
    <x v="5"/>
    <n v="5"/>
    <n v="316.39999999999998"/>
    <s v="671 Main St"/>
    <x v="3"/>
    <x v="2"/>
    <s v="TRK72012758"/>
    <n v="7"/>
    <m/>
    <x v="2"/>
    <n v="1582"/>
    <n v="1582"/>
    <x v="11"/>
    <s v="Q3"/>
    <x v="0"/>
    <s v="Pending"/>
    <s v="No"/>
  </r>
  <r>
    <x v="1046"/>
    <d v="2024-10-07T00:00:00"/>
    <s v="C85421"/>
    <x v="2"/>
    <n v="3"/>
    <n v="547.15"/>
    <s v="466 Main St"/>
    <x v="1"/>
    <x v="0"/>
    <s v="TRK16524006"/>
    <n v="4"/>
    <s v="WINTER15"/>
    <x v="0"/>
    <n v="1641.45"/>
    <n v="1641.4499999999998"/>
    <x v="3"/>
    <s v="Q4"/>
    <x v="0"/>
    <s v="Pending"/>
    <s v="Yes"/>
  </r>
  <r>
    <x v="1047"/>
    <d v="2023-06-23T00:00:00"/>
    <s v="C81726"/>
    <x v="3"/>
    <n v="4"/>
    <n v="540.34"/>
    <s v="394 Main St"/>
    <x v="3"/>
    <x v="0"/>
    <s v="TRK69872994"/>
    <n v="6"/>
    <s v="WINTER15"/>
    <x v="1"/>
    <n v="2161.36"/>
    <n v="2161.36"/>
    <x v="5"/>
    <s v="Q2"/>
    <x v="0"/>
    <s v="Pending"/>
    <s v="Yes"/>
  </r>
  <r>
    <x v="1048"/>
    <d v="2024-09-09T00:00:00"/>
    <s v="C57601"/>
    <x v="0"/>
    <n v="4"/>
    <n v="73.650000000000006"/>
    <s v="889 Main St"/>
    <x v="0"/>
    <x v="0"/>
    <s v="TRK21153699"/>
    <n v="9"/>
    <m/>
    <x v="4"/>
    <n v="294.60000000000002"/>
    <n v="294.60000000000002"/>
    <x v="11"/>
    <s v="Q3"/>
    <x v="1"/>
    <s v="Pending"/>
    <s v="No"/>
  </r>
  <r>
    <x v="1049"/>
    <d v="2024-07-18T00:00:00"/>
    <s v="C60575"/>
    <x v="6"/>
    <n v="5"/>
    <n v="391.86"/>
    <s v="587 Main St"/>
    <x v="2"/>
    <x v="0"/>
    <s v="TRK44468232"/>
    <n v="6"/>
    <m/>
    <x v="0"/>
    <n v="1959.3"/>
    <n v="1959.3000000000002"/>
    <x v="10"/>
    <s v="Q3"/>
    <x v="0"/>
    <s v="Pending"/>
    <s v="No"/>
  </r>
  <r>
    <x v="1050"/>
    <d v="2023-08-20T00:00:00"/>
    <s v="C70659"/>
    <x v="5"/>
    <n v="5"/>
    <n v="69.7"/>
    <s v="722 Main St"/>
    <x v="1"/>
    <x v="2"/>
    <s v="TRK49663597"/>
    <n v="9"/>
    <m/>
    <x v="0"/>
    <n v="348.5"/>
    <n v="348.5"/>
    <x v="1"/>
    <s v="Q3"/>
    <x v="1"/>
    <s v="Pending"/>
    <s v="No"/>
  </r>
  <r>
    <x v="1051"/>
    <d v="2025-03-05T00:00:00"/>
    <s v="C35043"/>
    <x v="0"/>
    <n v="5"/>
    <n v="26.43"/>
    <s v="820 Main St"/>
    <x v="3"/>
    <x v="0"/>
    <s v="TRK65097450"/>
    <n v="5"/>
    <s v="FREESHIP"/>
    <x v="3"/>
    <n v="132.15"/>
    <n v="132.15"/>
    <x v="9"/>
    <s v="Q1"/>
    <x v="1"/>
    <s v="Pending"/>
    <s v="Yes"/>
  </r>
  <r>
    <x v="1052"/>
    <d v="2023-09-11T00:00:00"/>
    <s v="C12301"/>
    <x v="2"/>
    <n v="1"/>
    <n v="531.74"/>
    <s v="493 Main St"/>
    <x v="1"/>
    <x v="0"/>
    <s v="TRK25145796"/>
    <n v="1"/>
    <s v="WINTER15"/>
    <x v="4"/>
    <n v="531.74"/>
    <n v="531.74"/>
    <x v="11"/>
    <s v="Q3"/>
    <x v="0"/>
    <s v="Pending"/>
    <s v="Yes"/>
  </r>
  <r>
    <x v="1053"/>
    <d v="2024-09-15T00:00:00"/>
    <s v="C32798"/>
    <x v="1"/>
    <n v="2"/>
    <n v="496.62"/>
    <s v="679 Main St"/>
    <x v="1"/>
    <x v="4"/>
    <s v="TRK37375451"/>
    <n v="2"/>
    <s v="SAVE10"/>
    <x v="0"/>
    <n v="993.24"/>
    <n v="993.24"/>
    <x v="11"/>
    <s v="Q3"/>
    <x v="0"/>
    <s v="Pending"/>
    <s v="Yes"/>
  </r>
  <r>
    <x v="1054"/>
    <d v="2023-11-29T00:00:00"/>
    <s v="C42949"/>
    <x v="4"/>
    <n v="1"/>
    <n v="660.66"/>
    <s v="447 Main St"/>
    <x v="0"/>
    <x v="3"/>
    <s v="TRK46415143"/>
    <n v="3"/>
    <s v="WINTER15"/>
    <x v="0"/>
    <n v="660.66"/>
    <n v="660.66"/>
    <x v="7"/>
    <s v="Q4"/>
    <x v="0"/>
    <s v="Completed"/>
    <s v="Yes"/>
  </r>
  <r>
    <x v="1055"/>
    <d v="2023-10-23T00:00:00"/>
    <s v="C10787"/>
    <x v="0"/>
    <n v="4"/>
    <n v="274.82"/>
    <s v="932 Main St"/>
    <x v="0"/>
    <x v="3"/>
    <s v="TRK91512567"/>
    <n v="9"/>
    <s v="WINTER15"/>
    <x v="2"/>
    <n v="1099.28"/>
    <n v="1099.28"/>
    <x v="3"/>
    <s v="Q4"/>
    <x v="0"/>
    <s v="Completed"/>
    <s v="Yes"/>
  </r>
  <r>
    <x v="1056"/>
    <d v="2024-06-14T00:00:00"/>
    <s v="C26152"/>
    <x v="1"/>
    <n v="2"/>
    <n v="486.35"/>
    <s v="790 Main St"/>
    <x v="1"/>
    <x v="4"/>
    <s v="TRK49382455"/>
    <n v="6"/>
    <s v="SAVE10"/>
    <x v="1"/>
    <n v="972.7"/>
    <n v="972.7"/>
    <x v="5"/>
    <s v="Q2"/>
    <x v="0"/>
    <s v="Pending"/>
    <s v="Yes"/>
  </r>
  <r>
    <x v="1057"/>
    <d v="2024-09-24T00:00:00"/>
    <s v="C46210"/>
    <x v="5"/>
    <n v="3"/>
    <n v="428.88"/>
    <s v="535 Main St"/>
    <x v="0"/>
    <x v="0"/>
    <s v="TRK81611937"/>
    <n v="3"/>
    <s v="WINTER15"/>
    <x v="3"/>
    <n v="1286.6400000000001"/>
    <n v="1286.6399999999999"/>
    <x v="11"/>
    <s v="Q3"/>
    <x v="0"/>
    <s v="Pending"/>
    <s v="Yes"/>
  </r>
  <r>
    <x v="1058"/>
    <d v="2023-09-08T00:00:00"/>
    <s v="C32943"/>
    <x v="6"/>
    <n v="2"/>
    <n v="412.14"/>
    <s v="127 Main St"/>
    <x v="2"/>
    <x v="2"/>
    <s v="TRK26949106"/>
    <n v="2"/>
    <s v="FREESHIP"/>
    <x v="0"/>
    <n v="824.28"/>
    <n v="824.28"/>
    <x v="11"/>
    <s v="Q3"/>
    <x v="0"/>
    <s v="Pending"/>
    <s v="Yes"/>
  </r>
  <r>
    <x v="1059"/>
    <d v="2024-09-22T00:00:00"/>
    <s v="C73629"/>
    <x v="6"/>
    <n v="1"/>
    <n v="265.64"/>
    <s v="601 Main St"/>
    <x v="2"/>
    <x v="2"/>
    <s v="TRK11492924"/>
    <n v="3"/>
    <s v="WINTER15"/>
    <x v="0"/>
    <n v="265.64"/>
    <n v="265.64"/>
    <x v="11"/>
    <s v="Q3"/>
    <x v="1"/>
    <s v="Pending"/>
    <s v="Yes"/>
  </r>
  <r>
    <x v="1060"/>
    <d v="2024-05-07T00:00:00"/>
    <s v="C38024"/>
    <x v="2"/>
    <n v="2"/>
    <n v="273.43"/>
    <s v="824 Main St"/>
    <x v="4"/>
    <x v="0"/>
    <s v="TRK93370912"/>
    <n v="7"/>
    <s v="WINTER15"/>
    <x v="1"/>
    <n v="546.86"/>
    <n v="546.86"/>
    <x v="4"/>
    <s v="Q2"/>
    <x v="0"/>
    <s v="Pending"/>
    <s v="Yes"/>
  </r>
  <r>
    <x v="1061"/>
    <d v="2025-01-29T00:00:00"/>
    <s v="C25445"/>
    <x v="5"/>
    <n v="5"/>
    <n v="131.69999999999999"/>
    <s v="830 Main St"/>
    <x v="4"/>
    <x v="0"/>
    <s v="TRK12402431"/>
    <n v="8"/>
    <s v="FREESHIP"/>
    <x v="4"/>
    <n v="658.5"/>
    <n v="658.5"/>
    <x v="0"/>
    <s v="Q1"/>
    <x v="0"/>
    <s v="Pending"/>
    <s v="Yes"/>
  </r>
  <r>
    <x v="1062"/>
    <d v="2023-08-23T00:00:00"/>
    <s v="C13501"/>
    <x v="3"/>
    <n v="5"/>
    <n v="85.52"/>
    <s v="301 Main St"/>
    <x v="3"/>
    <x v="1"/>
    <s v="TRK65149372"/>
    <n v="5"/>
    <m/>
    <x v="3"/>
    <n v="427.6"/>
    <n v="427.59999999999997"/>
    <x v="1"/>
    <s v="Q3"/>
    <x v="1"/>
    <s v="Pending"/>
    <s v="No"/>
  </r>
  <r>
    <x v="1063"/>
    <d v="2024-06-19T00:00:00"/>
    <s v="C42108"/>
    <x v="6"/>
    <n v="2"/>
    <n v="320.68"/>
    <s v="336 Main St"/>
    <x v="2"/>
    <x v="0"/>
    <s v="TRK58407918"/>
    <n v="5"/>
    <s v="FREESHIP"/>
    <x v="1"/>
    <n v="641.36"/>
    <n v="641.36"/>
    <x v="5"/>
    <s v="Q2"/>
    <x v="0"/>
    <s v="Pending"/>
    <s v="Yes"/>
  </r>
  <r>
    <x v="1064"/>
    <d v="2025-02-12T00:00:00"/>
    <s v="C32121"/>
    <x v="5"/>
    <n v="4"/>
    <n v="198.81"/>
    <s v="654 Main St"/>
    <x v="4"/>
    <x v="2"/>
    <s v="TRK96074264"/>
    <n v="9"/>
    <s v="FREESHIP"/>
    <x v="1"/>
    <n v="795.24"/>
    <n v="795.24"/>
    <x v="2"/>
    <s v="Q1"/>
    <x v="0"/>
    <s v="Pending"/>
    <s v="Yes"/>
  </r>
  <r>
    <x v="1065"/>
    <d v="2023-10-30T00:00:00"/>
    <s v="C47778"/>
    <x v="4"/>
    <n v="5"/>
    <n v="666.8"/>
    <s v="488 Main St"/>
    <x v="0"/>
    <x v="3"/>
    <s v="TRK79504329"/>
    <n v="7"/>
    <s v="SAVE10"/>
    <x v="1"/>
    <n v="3334"/>
    <n v="3334"/>
    <x v="3"/>
    <s v="Q4"/>
    <x v="0"/>
    <s v="Completed"/>
    <s v="Yes"/>
  </r>
  <r>
    <x v="1066"/>
    <d v="2023-12-20T00:00:00"/>
    <s v="C10791"/>
    <x v="6"/>
    <n v="1"/>
    <n v="355.09"/>
    <s v="674 Main St"/>
    <x v="0"/>
    <x v="1"/>
    <s v="TRK20321248"/>
    <n v="5"/>
    <s v="SAVE10"/>
    <x v="0"/>
    <n v="355.09"/>
    <n v="355.09"/>
    <x v="8"/>
    <s v="Q4"/>
    <x v="1"/>
    <s v="Pending"/>
    <s v="Yes"/>
  </r>
  <r>
    <x v="1067"/>
    <d v="2023-06-06T00:00:00"/>
    <s v="C78959"/>
    <x v="1"/>
    <n v="2"/>
    <n v="316.2"/>
    <s v="384 Main St"/>
    <x v="1"/>
    <x v="2"/>
    <s v="TRK37426359"/>
    <n v="2"/>
    <m/>
    <x v="0"/>
    <n v="632.4"/>
    <n v="632.4"/>
    <x v="5"/>
    <s v="Q2"/>
    <x v="0"/>
    <s v="Pending"/>
    <s v="No"/>
  </r>
  <r>
    <x v="1068"/>
    <d v="2024-08-03T00:00:00"/>
    <s v="C29914"/>
    <x v="5"/>
    <n v="1"/>
    <n v="133.38999999999999"/>
    <s v="469 Main St"/>
    <x v="0"/>
    <x v="0"/>
    <s v="TRK22073506"/>
    <n v="2"/>
    <s v="SAVE10"/>
    <x v="1"/>
    <n v="133.38999999999999"/>
    <n v="133.38999999999999"/>
    <x v="1"/>
    <s v="Q3"/>
    <x v="1"/>
    <s v="Pending"/>
    <s v="Yes"/>
  </r>
  <r>
    <x v="1069"/>
    <d v="2023-02-25T00:00:00"/>
    <s v="C70506"/>
    <x v="0"/>
    <n v="1"/>
    <n v="454.23"/>
    <s v="255 Main St"/>
    <x v="3"/>
    <x v="2"/>
    <s v="TRK12518384"/>
    <n v="3"/>
    <m/>
    <x v="3"/>
    <n v="454.23"/>
    <n v="454.23"/>
    <x v="2"/>
    <s v="Q1"/>
    <x v="1"/>
    <s v="Pending"/>
    <s v="No"/>
  </r>
  <r>
    <x v="1070"/>
    <d v="2024-09-06T00:00:00"/>
    <s v="C46873"/>
    <x v="6"/>
    <n v="4"/>
    <n v="491.29"/>
    <s v="496 Main St"/>
    <x v="0"/>
    <x v="4"/>
    <s v="TRK10926575"/>
    <n v="6"/>
    <m/>
    <x v="2"/>
    <n v="1965.16"/>
    <n v="1965.16"/>
    <x v="11"/>
    <s v="Q3"/>
    <x v="0"/>
    <s v="Pending"/>
    <s v="No"/>
  </r>
  <r>
    <x v="1071"/>
    <d v="2025-06-24T00:00:00"/>
    <s v="C94037"/>
    <x v="1"/>
    <n v="2"/>
    <n v="255.14"/>
    <s v="216 Main St"/>
    <x v="4"/>
    <x v="0"/>
    <s v="TRK47536985"/>
    <n v="2"/>
    <m/>
    <x v="4"/>
    <n v="510.28"/>
    <n v="510.28"/>
    <x v="5"/>
    <s v="Q2"/>
    <x v="0"/>
    <s v="Pending"/>
    <s v="No"/>
  </r>
  <r>
    <x v="1072"/>
    <d v="2023-02-26T00:00:00"/>
    <s v="C88644"/>
    <x v="0"/>
    <n v="1"/>
    <n v="392.61"/>
    <s v="977 Main St"/>
    <x v="3"/>
    <x v="1"/>
    <s v="TRK14900878"/>
    <n v="4"/>
    <s v="SAVE10"/>
    <x v="1"/>
    <n v="392.61"/>
    <n v="392.61"/>
    <x v="2"/>
    <s v="Q1"/>
    <x v="1"/>
    <s v="Pending"/>
    <s v="Yes"/>
  </r>
  <r>
    <x v="1073"/>
    <d v="2024-10-11T00:00:00"/>
    <s v="C69471"/>
    <x v="2"/>
    <n v="4"/>
    <n v="362.06"/>
    <s v="294 Main St"/>
    <x v="0"/>
    <x v="2"/>
    <s v="TRK11107152"/>
    <n v="4"/>
    <m/>
    <x v="3"/>
    <n v="1448.24"/>
    <n v="1448.24"/>
    <x v="3"/>
    <s v="Q4"/>
    <x v="0"/>
    <s v="Pending"/>
    <s v="No"/>
  </r>
  <r>
    <x v="1074"/>
    <d v="2024-05-10T00:00:00"/>
    <s v="C21437"/>
    <x v="1"/>
    <n v="1"/>
    <n v="222.73"/>
    <s v="120 Main St"/>
    <x v="1"/>
    <x v="2"/>
    <s v="TRK81624772"/>
    <n v="4"/>
    <m/>
    <x v="4"/>
    <n v="222.73"/>
    <n v="222.73"/>
    <x v="4"/>
    <s v="Q2"/>
    <x v="1"/>
    <s v="Pending"/>
    <s v="No"/>
  </r>
  <r>
    <x v="1075"/>
    <d v="2024-08-31T00:00:00"/>
    <s v="C40949"/>
    <x v="0"/>
    <n v="2"/>
    <n v="552.63"/>
    <s v="609 Main St"/>
    <x v="0"/>
    <x v="3"/>
    <s v="TRK43066749"/>
    <n v="7"/>
    <s v="WINTER15"/>
    <x v="0"/>
    <n v="1105.26"/>
    <n v="1105.26"/>
    <x v="1"/>
    <s v="Q3"/>
    <x v="0"/>
    <s v="Completed"/>
    <s v="Yes"/>
  </r>
  <r>
    <x v="1076"/>
    <d v="2023-05-08T00:00:00"/>
    <s v="C99116"/>
    <x v="5"/>
    <n v="4"/>
    <n v="686.61"/>
    <s v="176 Main St"/>
    <x v="4"/>
    <x v="0"/>
    <s v="TRK52711973"/>
    <n v="6"/>
    <m/>
    <x v="1"/>
    <n v="2746.44"/>
    <n v="2746.44"/>
    <x v="4"/>
    <s v="Q2"/>
    <x v="0"/>
    <s v="Pending"/>
    <s v="No"/>
  </r>
  <r>
    <x v="1077"/>
    <d v="2025-03-07T00:00:00"/>
    <s v="C57861"/>
    <x v="4"/>
    <n v="3"/>
    <n v="305.16000000000003"/>
    <s v="115 Main St"/>
    <x v="2"/>
    <x v="1"/>
    <s v="TRK47775217"/>
    <n v="8"/>
    <s v="SAVE10"/>
    <x v="1"/>
    <n v="915.48"/>
    <n v="915.48"/>
    <x v="9"/>
    <s v="Q1"/>
    <x v="0"/>
    <s v="Pending"/>
    <s v="Yes"/>
  </r>
  <r>
    <x v="1078"/>
    <d v="2023-03-18T00:00:00"/>
    <s v="C62627"/>
    <x v="6"/>
    <n v="1"/>
    <n v="41.09"/>
    <s v="881 Main St"/>
    <x v="1"/>
    <x v="2"/>
    <s v="TRK90060232"/>
    <n v="4"/>
    <s v="WINTER15"/>
    <x v="2"/>
    <n v="41.09"/>
    <n v="41.09"/>
    <x v="9"/>
    <s v="Q1"/>
    <x v="2"/>
    <s v="Pending"/>
    <s v="Yes"/>
  </r>
  <r>
    <x v="1079"/>
    <d v="2024-06-20T00:00:00"/>
    <s v="C89979"/>
    <x v="1"/>
    <n v="5"/>
    <n v="634"/>
    <s v="144 Main St"/>
    <x v="3"/>
    <x v="3"/>
    <s v="TRK99055909"/>
    <n v="8"/>
    <m/>
    <x v="2"/>
    <n v="3170"/>
    <n v="3170"/>
    <x v="5"/>
    <s v="Q2"/>
    <x v="0"/>
    <s v="Completed"/>
    <s v="No"/>
  </r>
  <r>
    <x v="1080"/>
    <d v="2023-01-20T00:00:00"/>
    <s v="C70613"/>
    <x v="5"/>
    <n v="5"/>
    <n v="464.74"/>
    <s v="438 Main St"/>
    <x v="3"/>
    <x v="3"/>
    <s v="TRK33140293"/>
    <n v="7"/>
    <m/>
    <x v="1"/>
    <n v="2323.6999999999998"/>
    <n v="2323.6999999999998"/>
    <x v="0"/>
    <s v="Q1"/>
    <x v="0"/>
    <s v="Completed"/>
    <s v="No"/>
  </r>
  <r>
    <x v="1081"/>
    <d v="2023-04-21T00:00:00"/>
    <s v="C55636"/>
    <x v="0"/>
    <n v="4"/>
    <n v="425.6"/>
    <s v="494 Main St"/>
    <x v="2"/>
    <x v="4"/>
    <s v="TRK85897054"/>
    <n v="5"/>
    <s v="FREESHIP"/>
    <x v="4"/>
    <n v="1702.4"/>
    <n v="1702.4"/>
    <x v="6"/>
    <s v="Q2"/>
    <x v="0"/>
    <s v="Pending"/>
    <s v="Yes"/>
  </r>
  <r>
    <x v="1082"/>
    <d v="2023-10-06T00:00:00"/>
    <s v="C96595"/>
    <x v="3"/>
    <n v="3"/>
    <n v="573.22"/>
    <s v="177 Main St"/>
    <x v="0"/>
    <x v="4"/>
    <s v="TRK59779174"/>
    <n v="5"/>
    <s v="SAVE10"/>
    <x v="2"/>
    <n v="1719.66"/>
    <n v="1719.66"/>
    <x v="3"/>
    <s v="Q4"/>
    <x v="0"/>
    <s v="Pending"/>
    <s v="Yes"/>
  </r>
  <r>
    <x v="1083"/>
    <d v="2024-07-09T00:00:00"/>
    <s v="C68508"/>
    <x v="3"/>
    <n v="1"/>
    <n v="123.28"/>
    <s v="895 Main St"/>
    <x v="2"/>
    <x v="3"/>
    <s v="TRK98960285"/>
    <n v="3"/>
    <s v="SAVE10"/>
    <x v="2"/>
    <n v="123.28"/>
    <n v="123.28"/>
    <x v="10"/>
    <s v="Q3"/>
    <x v="1"/>
    <s v="Completed"/>
    <s v="Yes"/>
  </r>
  <r>
    <x v="1084"/>
    <d v="2023-01-08T00:00:00"/>
    <s v="C45175"/>
    <x v="1"/>
    <n v="1"/>
    <n v="70.819999999999993"/>
    <s v="128 Main St"/>
    <x v="3"/>
    <x v="4"/>
    <s v="TRK41792296"/>
    <n v="1"/>
    <s v="WINTER15"/>
    <x v="0"/>
    <n v="70.819999999999993"/>
    <n v="70.819999999999993"/>
    <x v="0"/>
    <s v="Q1"/>
    <x v="2"/>
    <s v="Pending"/>
    <s v="Yes"/>
  </r>
  <r>
    <x v="1085"/>
    <d v="2023-05-21T00:00:00"/>
    <s v="C28049"/>
    <x v="4"/>
    <n v="2"/>
    <n v="646.69000000000005"/>
    <s v="404 Main St"/>
    <x v="0"/>
    <x v="0"/>
    <s v="TRK91426444"/>
    <n v="7"/>
    <s v="WINTER15"/>
    <x v="0"/>
    <n v="1293.3800000000001"/>
    <n v="1293.3800000000001"/>
    <x v="4"/>
    <s v="Q2"/>
    <x v="0"/>
    <s v="Pending"/>
    <s v="Yes"/>
  </r>
  <r>
    <x v="1086"/>
    <d v="2023-12-23T00:00:00"/>
    <s v="C46967"/>
    <x v="2"/>
    <n v="2"/>
    <n v="513.41999999999996"/>
    <s v="401 Main St"/>
    <x v="1"/>
    <x v="4"/>
    <s v="TRK91439791"/>
    <n v="5"/>
    <s v="WINTER15"/>
    <x v="0"/>
    <n v="1026.8399999999999"/>
    <n v="1026.8399999999999"/>
    <x v="8"/>
    <s v="Q4"/>
    <x v="0"/>
    <s v="Pending"/>
    <s v="Yes"/>
  </r>
  <r>
    <x v="1087"/>
    <d v="2025-03-23T00:00:00"/>
    <s v="C84134"/>
    <x v="5"/>
    <n v="4"/>
    <n v="693.07"/>
    <s v="530 Main St"/>
    <x v="1"/>
    <x v="0"/>
    <s v="TRK48659380"/>
    <n v="8"/>
    <s v="SAVE10"/>
    <x v="0"/>
    <n v="2772.28"/>
    <n v="2772.28"/>
    <x v="9"/>
    <s v="Q1"/>
    <x v="0"/>
    <s v="Pending"/>
    <s v="Yes"/>
  </r>
  <r>
    <x v="1088"/>
    <d v="2023-11-30T00:00:00"/>
    <s v="C49831"/>
    <x v="6"/>
    <n v="3"/>
    <n v="491.43"/>
    <s v="213 Main St"/>
    <x v="3"/>
    <x v="0"/>
    <s v="TRK21232601"/>
    <n v="6"/>
    <s v="WINTER15"/>
    <x v="0"/>
    <n v="1474.29"/>
    <n v="1474.29"/>
    <x v="7"/>
    <s v="Q4"/>
    <x v="0"/>
    <s v="Pending"/>
    <s v="Yes"/>
  </r>
  <r>
    <x v="1089"/>
    <d v="2025-03-15T00:00:00"/>
    <s v="C13324"/>
    <x v="2"/>
    <n v="2"/>
    <n v="599.74"/>
    <s v="440 Main St"/>
    <x v="3"/>
    <x v="0"/>
    <s v="TRK66967997"/>
    <n v="2"/>
    <m/>
    <x v="0"/>
    <n v="1199.48"/>
    <n v="1199.48"/>
    <x v="9"/>
    <s v="Q1"/>
    <x v="0"/>
    <s v="Pending"/>
    <s v="No"/>
  </r>
  <r>
    <x v="1090"/>
    <d v="2023-02-25T00:00:00"/>
    <s v="C61225"/>
    <x v="0"/>
    <n v="2"/>
    <n v="650.25"/>
    <s v="996 Main St"/>
    <x v="3"/>
    <x v="2"/>
    <s v="TRK37022954"/>
    <n v="6"/>
    <m/>
    <x v="0"/>
    <n v="1300.5"/>
    <n v="1300.5"/>
    <x v="2"/>
    <s v="Q1"/>
    <x v="0"/>
    <s v="Pending"/>
    <s v="No"/>
  </r>
  <r>
    <x v="1091"/>
    <d v="2024-10-08T00:00:00"/>
    <s v="C16400"/>
    <x v="5"/>
    <n v="3"/>
    <n v="209.48"/>
    <s v="123 Main St"/>
    <x v="0"/>
    <x v="4"/>
    <s v="TRK57771859"/>
    <n v="4"/>
    <m/>
    <x v="2"/>
    <n v="628.43999999999994"/>
    <n v="628.43999999999994"/>
    <x v="3"/>
    <s v="Q4"/>
    <x v="0"/>
    <s v="Pending"/>
    <s v="No"/>
  </r>
  <r>
    <x v="1092"/>
    <d v="2023-08-21T00:00:00"/>
    <s v="C38642"/>
    <x v="5"/>
    <n v="5"/>
    <n v="209.2"/>
    <s v="930 Main St"/>
    <x v="0"/>
    <x v="3"/>
    <s v="TRK47744396"/>
    <n v="6"/>
    <s v="WINTER15"/>
    <x v="2"/>
    <n v="1046"/>
    <n v="1046"/>
    <x v="1"/>
    <s v="Q3"/>
    <x v="0"/>
    <s v="Completed"/>
    <s v="Yes"/>
  </r>
  <r>
    <x v="1093"/>
    <d v="2023-06-09T00:00:00"/>
    <s v="C86773"/>
    <x v="1"/>
    <n v="4"/>
    <n v="197.36"/>
    <s v="557 Main St"/>
    <x v="3"/>
    <x v="2"/>
    <s v="TRK22612240"/>
    <n v="9"/>
    <s v="FREESHIP"/>
    <x v="0"/>
    <n v="789.44"/>
    <n v="789.44"/>
    <x v="5"/>
    <s v="Q2"/>
    <x v="0"/>
    <s v="Pending"/>
    <s v="Yes"/>
  </r>
  <r>
    <x v="1094"/>
    <d v="2023-06-28T00:00:00"/>
    <s v="C66093"/>
    <x v="4"/>
    <n v="4"/>
    <n v="648.91"/>
    <s v="615 Main St"/>
    <x v="2"/>
    <x v="0"/>
    <s v="TRK54950785"/>
    <n v="6"/>
    <s v="SAVE10"/>
    <x v="0"/>
    <n v="2595.64"/>
    <n v="2595.64"/>
    <x v="5"/>
    <s v="Q2"/>
    <x v="0"/>
    <s v="Pending"/>
    <s v="Yes"/>
  </r>
  <r>
    <x v="1095"/>
    <d v="2024-04-23T00:00:00"/>
    <s v="C33051"/>
    <x v="1"/>
    <n v="2"/>
    <n v="441.54"/>
    <s v="397 Main St"/>
    <x v="1"/>
    <x v="3"/>
    <s v="TRK92929755"/>
    <n v="2"/>
    <s v="SAVE10"/>
    <x v="2"/>
    <n v="883.08"/>
    <n v="883.08"/>
    <x v="6"/>
    <s v="Q2"/>
    <x v="0"/>
    <s v="Completed"/>
    <s v="Yes"/>
  </r>
  <r>
    <x v="1096"/>
    <d v="2025-05-03T00:00:00"/>
    <s v="C18169"/>
    <x v="2"/>
    <n v="2"/>
    <n v="464.92"/>
    <s v="782 Main St"/>
    <x v="0"/>
    <x v="2"/>
    <s v="TRK49482923"/>
    <n v="2"/>
    <m/>
    <x v="3"/>
    <n v="929.84"/>
    <n v="929.84"/>
    <x v="4"/>
    <s v="Q2"/>
    <x v="0"/>
    <s v="Pending"/>
    <s v="No"/>
  </r>
  <r>
    <x v="1097"/>
    <d v="2024-12-26T00:00:00"/>
    <s v="C81370"/>
    <x v="0"/>
    <n v="5"/>
    <n v="506.45"/>
    <s v="344 Main St"/>
    <x v="3"/>
    <x v="0"/>
    <s v="TRK99682998"/>
    <n v="7"/>
    <s v="WINTER15"/>
    <x v="4"/>
    <n v="2532.25"/>
    <n v="2532.25"/>
    <x v="8"/>
    <s v="Q4"/>
    <x v="0"/>
    <s v="Pending"/>
    <s v="Yes"/>
  </r>
  <r>
    <x v="1098"/>
    <d v="2023-06-17T00:00:00"/>
    <s v="C91103"/>
    <x v="0"/>
    <n v="4"/>
    <n v="255.86"/>
    <s v="155 Main St"/>
    <x v="2"/>
    <x v="3"/>
    <s v="TRK91653000"/>
    <n v="7"/>
    <m/>
    <x v="2"/>
    <n v="1023.44"/>
    <n v="1023.44"/>
    <x v="5"/>
    <s v="Q2"/>
    <x v="0"/>
    <s v="Completed"/>
    <s v="No"/>
  </r>
  <r>
    <x v="1099"/>
    <d v="2024-09-19T00:00:00"/>
    <s v="C21953"/>
    <x v="5"/>
    <n v="2"/>
    <n v="125.23"/>
    <s v="272 Main St"/>
    <x v="4"/>
    <x v="1"/>
    <s v="TRK60774796"/>
    <n v="3"/>
    <s v="FREESHIP"/>
    <x v="2"/>
    <n v="250.46"/>
    <n v="250.46"/>
    <x v="11"/>
    <s v="Q3"/>
    <x v="1"/>
    <s v="Pending"/>
    <s v="Yes"/>
  </r>
  <r>
    <x v="1100"/>
    <d v="2023-08-17T00:00:00"/>
    <s v="C15146"/>
    <x v="5"/>
    <n v="5"/>
    <n v="38.11"/>
    <s v="428 Main St"/>
    <x v="0"/>
    <x v="1"/>
    <s v="TRK79790530"/>
    <n v="6"/>
    <s v="WINTER15"/>
    <x v="0"/>
    <n v="190.55"/>
    <n v="190.55"/>
    <x v="1"/>
    <s v="Q3"/>
    <x v="1"/>
    <s v="Pending"/>
    <s v="Yes"/>
  </r>
  <r>
    <x v="1101"/>
    <d v="2025-06-08T00:00:00"/>
    <s v="C43546"/>
    <x v="0"/>
    <n v="3"/>
    <n v="161.97"/>
    <s v="904 Main St"/>
    <x v="4"/>
    <x v="4"/>
    <s v="TRK85871121"/>
    <n v="4"/>
    <s v="SAVE10"/>
    <x v="2"/>
    <n v="485.91"/>
    <n v="485.90999999999997"/>
    <x v="5"/>
    <s v="Q2"/>
    <x v="1"/>
    <s v="Pending"/>
    <s v="Yes"/>
  </r>
  <r>
    <x v="1102"/>
    <d v="2024-06-03T00:00:00"/>
    <s v="C98474"/>
    <x v="3"/>
    <n v="4"/>
    <n v="347.17"/>
    <s v="997 Main St"/>
    <x v="0"/>
    <x v="0"/>
    <s v="TRK86192984"/>
    <n v="8"/>
    <m/>
    <x v="0"/>
    <n v="1388.68"/>
    <n v="1388.68"/>
    <x v="5"/>
    <s v="Q2"/>
    <x v="0"/>
    <s v="Pending"/>
    <s v="No"/>
  </r>
  <r>
    <x v="1103"/>
    <d v="2023-04-24T00:00:00"/>
    <s v="C90292"/>
    <x v="5"/>
    <n v="4"/>
    <n v="276.32"/>
    <s v="129 Main St"/>
    <x v="1"/>
    <x v="3"/>
    <s v="TRK26270357"/>
    <n v="5"/>
    <m/>
    <x v="4"/>
    <n v="1105.28"/>
    <n v="1105.28"/>
    <x v="6"/>
    <s v="Q2"/>
    <x v="0"/>
    <s v="Completed"/>
    <s v="No"/>
  </r>
  <r>
    <x v="1104"/>
    <d v="2024-07-25T00:00:00"/>
    <s v="C17075"/>
    <x v="2"/>
    <n v="4"/>
    <n v="314.76"/>
    <s v="850 Main St"/>
    <x v="1"/>
    <x v="0"/>
    <s v="TRK63547510"/>
    <n v="8"/>
    <m/>
    <x v="0"/>
    <n v="1259.04"/>
    <n v="1259.04"/>
    <x v="10"/>
    <s v="Q3"/>
    <x v="0"/>
    <s v="Pending"/>
    <s v="No"/>
  </r>
  <r>
    <x v="1105"/>
    <d v="2024-01-08T00:00:00"/>
    <s v="C12487"/>
    <x v="2"/>
    <n v="3"/>
    <n v="475.69"/>
    <s v="884 Main St"/>
    <x v="3"/>
    <x v="1"/>
    <s v="TRK23324770"/>
    <n v="3"/>
    <s v="FREESHIP"/>
    <x v="4"/>
    <n v="1427.07"/>
    <n v="1427.07"/>
    <x v="0"/>
    <s v="Q1"/>
    <x v="0"/>
    <s v="Pending"/>
    <s v="Yes"/>
  </r>
  <r>
    <x v="1106"/>
    <d v="2023-03-12T00:00:00"/>
    <s v="C34555"/>
    <x v="3"/>
    <n v="1"/>
    <n v="372.8"/>
    <s v="903 Main St"/>
    <x v="4"/>
    <x v="1"/>
    <s v="TRK72859458"/>
    <n v="6"/>
    <s v="SAVE10"/>
    <x v="3"/>
    <n v="372.8"/>
    <n v="372.8"/>
    <x v="9"/>
    <s v="Q1"/>
    <x v="1"/>
    <s v="Pending"/>
    <s v="Yes"/>
  </r>
  <r>
    <x v="1107"/>
    <d v="2025-06-30T00:00:00"/>
    <s v="C25110"/>
    <x v="2"/>
    <n v="2"/>
    <n v="63.21"/>
    <s v="282 Main St"/>
    <x v="1"/>
    <x v="1"/>
    <s v="TRK80963328"/>
    <n v="4"/>
    <s v="SAVE10"/>
    <x v="4"/>
    <n v="126.42"/>
    <n v="126.42"/>
    <x v="5"/>
    <s v="Q2"/>
    <x v="1"/>
    <s v="Pending"/>
    <s v="Yes"/>
  </r>
  <r>
    <x v="1108"/>
    <d v="2023-03-20T00:00:00"/>
    <s v="C35136"/>
    <x v="5"/>
    <n v="1"/>
    <n v="634.94000000000005"/>
    <s v="462 Main St"/>
    <x v="1"/>
    <x v="1"/>
    <s v="TRK49753703"/>
    <n v="5"/>
    <s v="WINTER15"/>
    <x v="0"/>
    <n v="634.94000000000005"/>
    <n v="634.94000000000005"/>
    <x v="9"/>
    <s v="Q1"/>
    <x v="0"/>
    <s v="Pending"/>
    <s v="Yes"/>
  </r>
  <r>
    <x v="1109"/>
    <d v="2024-04-08T00:00:00"/>
    <s v="C62277"/>
    <x v="4"/>
    <n v="4"/>
    <n v="77.47"/>
    <s v="474 Main St"/>
    <x v="3"/>
    <x v="2"/>
    <s v="TRK32026174"/>
    <n v="7"/>
    <s v="SAVE10"/>
    <x v="0"/>
    <n v="309.88"/>
    <n v="309.88"/>
    <x v="6"/>
    <s v="Q2"/>
    <x v="1"/>
    <s v="Pending"/>
    <s v="Yes"/>
  </r>
  <r>
    <x v="1110"/>
    <d v="2024-02-25T00:00:00"/>
    <s v="C12472"/>
    <x v="3"/>
    <n v="3"/>
    <n v="84.31"/>
    <s v="912 Main St"/>
    <x v="2"/>
    <x v="0"/>
    <s v="TRK36103184"/>
    <n v="3"/>
    <s v="SAVE10"/>
    <x v="2"/>
    <n v="252.93"/>
    <n v="252.93"/>
    <x v="2"/>
    <s v="Q1"/>
    <x v="1"/>
    <s v="Pending"/>
    <s v="Yes"/>
  </r>
  <r>
    <x v="1111"/>
    <d v="2023-05-06T00:00:00"/>
    <s v="C24047"/>
    <x v="0"/>
    <n v="4"/>
    <n v="234.45"/>
    <s v="362 Main St"/>
    <x v="1"/>
    <x v="1"/>
    <s v="TRK91338580"/>
    <n v="9"/>
    <s v="FREESHIP"/>
    <x v="0"/>
    <n v="937.8"/>
    <n v="937.8"/>
    <x v="4"/>
    <s v="Q2"/>
    <x v="0"/>
    <s v="Pending"/>
    <s v="Yes"/>
  </r>
  <r>
    <x v="1112"/>
    <d v="2023-10-13T00:00:00"/>
    <s v="C76929"/>
    <x v="6"/>
    <n v="1"/>
    <n v="356.81"/>
    <s v="563 Main St"/>
    <x v="1"/>
    <x v="3"/>
    <s v="TRK80694400"/>
    <n v="1"/>
    <s v="WINTER15"/>
    <x v="0"/>
    <n v="356.81"/>
    <n v="356.81"/>
    <x v="3"/>
    <s v="Q4"/>
    <x v="1"/>
    <s v="Completed"/>
    <s v="Yes"/>
  </r>
  <r>
    <x v="1113"/>
    <d v="2023-03-19T00:00:00"/>
    <s v="C52914"/>
    <x v="6"/>
    <n v="4"/>
    <n v="209.99"/>
    <s v="168 Main St"/>
    <x v="4"/>
    <x v="3"/>
    <s v="TRK80819053"/>
    <n v="8"/>
    <m/>
    <x v="4"/>
    <n v="839.96"/>
    <n v="839.96"/>
    <x v="9"/>
    <s v="Q1"/>
    <x v="0"/>
    <s v="Completed"/>
    <s v="No"/>
  </r>
  <r>
    <x v="1114"/>
    <d v="2023-03-16T00:00:00"/>
    <s v="C55164"/>
    <x v="2"/>
    <n v="3"/>
    <n v="659.88"/>
    <s v="609 Main St"/>
    <x v="3"/>
    <x v="1"/>
    <s v="TRK79610967"/>
    <n v="3"/>
    <m/>
    <x v="4"/>
    <n v="1979.64"/>
    <n v="1979.6399999999999"/>
    <x v="9"/>
    <s v="Q1"/>
    <x v="0"/>
    <s v="Pending"/>
    <s v="No"/>
  </r>
  <r>
    <x v="1115"/>
    <d v="2025-06-20T00:00:00"/>
    <s v="C70426"/>
    <x v="5"/>
    <n v="2"/>
    <n v="336.32"/>
    <s v="562 Main St"/>
    <x v="1"/>
    <x v="2"/>
    <s v="TRK89687816"/>
    <n v="3"/>
    <m/>
    <x v="4"/>
    <n v="672.64"/>
    <n v="672.64"/>
    <x v="5"/>
    <s v="Q2"/>
    <x v="0"/>
    <s v="Pending"/>
    <s v="No"/>
  </r>
  <r>
    <x v="1116"/>
    <d v="2023-10-14T00:00:00"/>
    <s v="C69149"/>
    <x v="4"/>
    <n v="2"/>
    <n v="531.49"/>
    <s v="562 Main St"/>
    <x v="2"/>
    <x v="3"/>
    <s v="TRK61265132"/>
    <n v="7"/>
    <s v="WINTER15"/>
    <x v="3"/>
    <n v="1062.98"/>
    <n v="1062.98"/>
    <x v="3"/>
    <s v="Q4"/>
    <x v="0"/>
    <s v="Completed"/>
    <s v="Yes"/>
  </r>
  <r>
    <x v="1117"/>
    <d v="2024-05-20T00:00:00"/>
    <s v="C78684"/>
    <x v="3"/>
    <n v="3"/>
    <n v="588.44000000000005"/>
    <s v="858 Main St"/>
    <x v="3"/>
    <x v="0"/>
    <s v="TRK95779073"/>
    <n v="8"/>
    <s v="WINTER15"/>
    <x v="4"/>
    <n v="1765.32"/>
    <n v="1765.3200000000002"/>
    <x v="4"/>
    <s v="Q2"/>
    <x v="0"/>
    <s v="Pending"/>
    <s v="Yes"/>
  </r>
  <r>
    <x v="1118"/>
    <d v="2024-05-24T00:00:00"/>
    <s v="C58168"/>
    <x v="1"/>
    <n v="3"/>
    <n v="251.48"/>
    <s v="359 Main St"/>
    <x v="2"/>
    <x v="2"/>
    <s v="TRK99102265"/>
    <n v="4"/>
    <m/>
    <x v="2"/>
    <n v="754.43999999999994"/>
    <n v="754.43999999999994"/>
    <x v="4"/>
    <s v="Q2"/>
    <x v="0"/>
    <s v="Pending"/>
    <s v="No"/>
  </r>
  <r>
    <x v="1119"/>
    <d v="2024-11-24T00:00:00"/>
    <s v="C99024"/>
    <x v="5"/>
    <n v="1"/>
    <n v="684.65"/>
    <s v="250 Main St"/>
    <x v="2"/>
    <x v="3"/>
    <s v="TRK24675988"/>
    <n v="1"/>
    <s v="FREESHIP"/>
    <x v="2"/>
    <n v="684.65"/>
    <n v="684.65"/>
    <x v="7"/>
    <s v="Q4"/>
    <x v="0"/>
    <s v="Completed"/>
    <s v="Yes"/>
  </r>
  <r>
    <x v="1120"/>
    <d v="2025-05-10T00:00:00"/>
    <s v="C22919"/>
    <x v="2"/>
    <n v="1"/>
    <n v="195.86"/>
    <s v="267 Main St"/>
    <x v="1"/>
    <x v="4"/>
    <s v="TRK82416295"/>
    <n v="3"/>
    <m/>
    <x v="3"/>
    <n v="195.86"/>
    <n v="195.86"/>
    <x v="4"/>
    <s v="Q2"/>
    <x v="1"/>
    <s v="Pending"/>
    <s v="No"/>
  </r>
  <r>
    <x v="1121"/>
    <d v="2023-05-28T00:00:00"/>
    <s v="C98354"/>
    <x v="1"/>
    <n v="3"/>
    <n v="50.34"/>
    <s v="393 Main St"/>
    <x v="3"/>
    <x v="2"/>
    <s v="TRK43070888"/>
    <n v="3"/>
    <s v="FREESHIP"/>
    <x v="0"/>
    <n v="151.02000000000001"/>
    <n v="151.02000000000001"/>
    <x v="4"/>
    <s v="Q2"/>
    <x v="1"/>
    <s v="Pending"/>
    <s v="Yes"/>
  </r>
  <r>
    <x v="1122"/>
    <d v="2023-06-07T00:00:00"/>
    <s v="C38840"/>
    <x v="0"/>
    <n v="5"/>
    <n v="678.19"/>
    <s v="766 Main St"/>
    <x v="1"/>
    <x v="2"/>
    <s v="TRK32496970"/>
    <n v="8"/>
    <m/>
    <x v="3"/>
    <n v="3390.95"/>
    <n v="3390.9500000000003"/>
    <x v="5"/>
    <s v="Q2"/>
    <x v="0"/>
    <s v="Pending"/>
    <s v="No"/>
  </r>
  <r>
    <x v="1123"/>
    <d v="2023-04-14T00:00:00"/>
    <s v="C68936"/>
    <x v="2"/>
    <n v="3"/>
    <n v="554.25"/>
    <s v="843 Main St"/>
    <x v="0"/>
    <x v="0"/>
    <s v="TRK73163634"/>
    <n v="6"/>
    <s v="WINTER15"/>
    <x v="1"/>
    <n v="1662.75"/>
    <n v="1662.75"/>
    <x v="6"/>
    <s v="Q2"/>
    <x v="0"/>
    <s v="Pending"/>
    <s v="Yes"/>
  </r>
  <r>
    <x v="1124"/>
    <d v="2023-05-09T00:00:00"/>
    <s v="C33744"/>
    <x v="3"/>
    <n v="4"/>
    <n v="576.87"/>
    <s v="888 Main St"/>
    <x v="3"/>
    <x v="2"/>
    <s v="TRK40245983"/>
    <n v="5"/>
    <m/>
    <x v="0"/>
    <n v="2307.48"/>
    <n v="2307.48"/>
    <x v="4"/>
    <s v="Q2"/>
    <x v="0"/>
    <s v="Pending"/>
    <s v="No"/>
  </r>
  <r>
    <x v="1125"/>
    <d v="2023-10-16T00:00:00"/>
    <s v="C23555"/>
    <x v="6"/>
    <n v="4"/>
    <n v="408.36"/>
    <s v="156 Main St"/>
    <x v="3"/>
    <x v="1"/>
    <s v="TRK67210247"/>
    <n v="4"/>
    <s v="FREESHIP"/>
    <x v="1"/>
    <n v="1633.44"/>
    <n v="1633.44"/>
    <x v="3"/>
    <s v="Q4"/>
    <x v="0"/>
    <s v="Pending"/>
    <s v="Yes"/>
  </r>
  <r>
    <x v="1126"/>
    <d v="2024-07-22T00:00:00"/>
    <s v="C34337"/>
    <x v="1"/>
    <n v="5"/>
    <n v="190.11"/>
    <s v="325 Main St"/>
    <x v="4"/>
    <x v="3"/>
    <s v="TRK36195559"/>
    <n v="7"/>
    <s v="SAVE10"/>
    <x v="4"/>
    <n v="950.55000000000007"/>
    <n v="950.55000000000007"/>
    <x v="10"/>
    <s v="Q3"/>
    <x v="0"/>
    <s v="Completed"/>
    <s v="Yes"/>
  </r>
  <r>
    <x v="1127"/>
    <d v="2025-03-15T00:00:00"/>
    <s v="C69396"/>
    <x v="4"/>
    <n v="3"/>
    <n v="602.75"/>
    <s v="920 Main St"/>
    <x v="2"/>
    <x v="0"/>
    <s v="TRK33155049"/>
    <n v="6"/>
    <s v="SAVE10"/>
    <x v="2"/>
    <n v="1808.25"/>
    <n v="1808.25"/>
    <x v="9"/>
    <s v="Q1"/>
    <x v="0"/>
    <s v="Pending"/>
    <s v="Yes"/>
  </r>
  <r>
    <x v="1128"/>
    <d v="2023-08-17T00:00:00"/>
    <s v="C49198"/>
    <x v="0"/>
    <n v="3"/>
    <n v="646.79"/>
    <s v="447 Main St"/>
    <x v="4"/>
    <x v="1"/>
    <s v="TRK10883354"/>
    <n v="5"/>
    <s v="WINTER15"/>
    <x v="4"/>
    <n v="1940.37"/>
    <n v="1940.37"/>
    <x v="1"/>
    <s v="Q3"/>
    <x v="0"/>
    <s v="Pending"/>
    <s v="Yes"/>
  </r>
  <r>
    <x v="1129"/>
    <d v="2023-06-11T00:00:00"/>
    <s v="C43911"/>
    <x v="3"/>
    <n v="4"/>
    <n v="418.71"/>
    <s v="239 Main St"/>
    <x v="4"/>
    <x v="4"/>
    <s v="TRK37495481"/>
    <n v="8"/>
    <s v="FREESHIP"/>
    <x v="0"/>
    <n v="1674.84"/>
    <n v="1674.84"/>
    <x v="5"/>
    <s v="Q2"/>
    <x v="0"/>
    <s v="Pending"/>
    <s v="Yes"/>
  </r>
  <r>
    <x v="1130"/>
    <d v="2025-02-16T00:00:00"/>
    <s v="C24347"/>
    <x v="5"/>
    <n v="2"/>
    <n v="323.45"/>
    <s v="533 Main St"/>
    <x v="2"/>
    <x v="2"/>
    <s v="TRK27233265"/>
    <n v="5"/>
    <s v="FREESHIP"/>
    <x v="0"/>
    <n v="646.9"/>
    <n v="646.9"/>
    <x v="2"/>
    <s v="Q1"/>
    <x v="0"/>
    <s v="Pending"/>
    <s v="Yes"/>
  </r>
  <r>
    <x v="1131"/>
    <d v="2024-07-18T00:00:00"/>
    <s v="C21043"/>
    <x v="1"/>
    <n v="1"/>
    <n v="694.5"/>
    <s v="195 Main St"/>
    <x v="2"/>
    <x v="4"/>
    <s v="TRK41691086"/>
    <n v="3"/>
    <s v="WINTER15"/>
    <x v="3"/>
    <n v="694.5"/>
    <n v="694.5"/>
    <x v="10"/>
    <s v="Q3"/>
    <x v="0"/>
    <s v="Pending"/>
    <s v="Yes"/>
  </r>
  <r>
    <x v="1132"/>
    <d v="2024-12-02T00:00:00"/>
    <s v="C58858"/>
    <x v="3"/>
    <n v="2"/>
    <n v="337.32"/>
    <s v="948 Main St"/>
    <x v="2"/>
    <x v="1"/>
    <s v="TRK30406357"/>
    <n v="4"/>
    <s v="SAVE10"/>
    <x v="2"/>
    <n v="674.64"/>
    <n v="674.64"/>
    <x v="8"/>
    <s v="Q4"/>
    <x v="0"/>
    <s v="Pending"/>
    <s v="Yes"/>
  </r>
  <r>
    <x v="1133"/>
    <d v="2024-04-09T00:00:00"/>
    <s v="C20670"/>
    <x v="4"/>
    <n v="2"/>
    <n v="467.91"/>
    <s v="432 Main St"/>
    <x v="3"/>
    <x v="2"/>
    <s v="TRK76731303"/>
    <n v="5"/>
    <s v="WINTER15"/>
    <x v="3"/>
    <n v="935.82"/>
    <n v="935.82"/>
    <x v="6"/>
    <s v="Q2"/>
    <x v="0"/>
    <s v="Pending"/>
    <s v="Yes"/>
  </r>
  <r>
    <x v="1134"/>
    <d v="2024-06-08T00:00:00"/>
    <s v="C90993"/>
    <x v="6"/>
    <n v="4"/>
    <n v="38.28"/>
    <s v="950 Main St"/>
    <x v="0"/>
    <x v="1"/>
    <s v="TRK53964711"/>
    <n v="4"/>
    <s v="WINTER15"/>
    <x v="3"/>
    <n v="153.12"/>
    <n v="153.12"/>
    <x v="5"/>
    <s v="Q2"/>
    <x v="1"/>
    <s v="Pending"/>
    <s v="Yes"/>
  </r>
  <r>
    <x v="1135"/>
    <d v="2023-12-28T00:00:00"/>
    <s v="C11473"/>
    <x v="4"/>
    <n v="2"/>
    <n v="73.41"/>
    <s v="562 Main St"/>
    <x v="1"/>
    <x v="0"/>
    <s v="TRK97793275"/>
    <n v="2"/>
    <s v="SAVE10"/>
    <x v="4"/>
    <n v="146.82"/>
    <n v="146.82"/>
    <x v="8"/>
    <s v="Q4"/>
    <x v="1"/>
    <s v="Pending"/>
    <s v="Yes"/>
  </r>
  <r>
    <x v="1136"/>
    <d v="2023-09-24T00:00:00"/>
    <s v="C71899"/>
    <x v="2"/>
    <n v="3"/>
    <n v="668.33"/>
    <s v="799 Main St"/>
    <x v="3"/>
    <x v="4"/>
    <s v="TRK34856025"/>
    <n v="4"/>
    <s v="WINTER15"/>
    <x v="3"/>
    <n v="2004.99"/>
    <n v="2004.9900000000002"/>
    <x v="11"/>
    <s v="Q3"/>
    <x v="0"/>
    <s v="Pending"/>
    <s v="Yes"/>
  </r>
  <r>
    <x v="1137"/>
    <d v="2024-07-29T00:00:00"/>
    <s v="C48577"/>
    <x v="4"/>
    <n v="4"/>
    <n v="410.21"/>
    <s v="841 Main St"/>
    <x v="4"/>
    <x v="4"/>
    <s v="TRK59911645"/>
    <n v="5"/>
    <s v="WINTER15"/>
    <x v="0"/>
    <n v="1640.84"/>
    <n v="1640.84"/>
    <x v="10"/>
    <s v="Q3"/>
    <x v="0"/>
    <s v="Pending"/>
    <s v="Yes"/>
  </r>
  <r>
    <x v="1138"/>
    <d v="2023-12-18T00:00:00"/>
    <s v="C13100"/>
    <x v="6"/>
    <n v="4"/>
    <n v="294.41000000000003"/>
    <s v="188 Main St"/>
    <x v="0"/>
    <x v="4"/>
    <s v="TRK55565668"/>
    <n v="4"/>
    <m/>
    <x v="0"/>
    <n v="1177.6400000000001"/>
    <n v="1177.6400000000001"/>
    <x v="8"/>
    <s v="Q4"/>
    <x v="0"/>
    <s v="Pending"/>
    <s v="No"/>
  </r>
  <r>
    <x v="1139"/>
    <d v="2025-03-01T00:00:00"/>
    <s v="C70659"/>
    <x v="3"/>
    <n v="3"/>
    <n v="501.82"/>
    <s v="568 Main St"/>
    <x v="3"/>
    <x v="1"/>
    <s v="TRK28290825"/>
    <n v="4"/>
    <s v="FREESHIP"/>
    <x v="2"/>
    <n v="1505.46"/>
    <n v="1505.46"/>
    <x v="9"/>
    <s v="Q1"/>
    <x v="0"/>
    <s v="Pending"/>
    <s v="Yes"/>
  </r>
  <r>
    <x v="1140"/>
    <d v="2024-06-24T00:00:00"/>
    <s v="C49838"/>
    <x v="4"/>
    <n v="2"/>
    <n v="552.83000000000004"/>
    <s v="904 Main St"/>
    <x v="2"/>
    <x v="1"/>
    <s v="TRK38297718"/>
    <n v="3"/>
    <m/>
    <x v="1"/>
    <n v="1105.6600000000001"/>
    <n v="1105.6600000000001"/>
    <x v="5"/>
    <s v="Q2"/>
    <x v="0"/>
    <s v="Pending"/>
    <s v="No"/>
  </r>
  <r>
    <x v="1141"/>
    <d v="2025-02-16T00:00:00"/>
    <s v="C11998"/>
    <x v="3"/>
    <n v="3"/>
    <n v="498.66"/>
    <s v="382 Main St"/>
    <x v="4"/>
    <x v="1"/>
    <s v="TRK26707221"/>
    <n v="6"/>
    <m/>
    <x v="2"/>
    <n v="1495.98"/>
    <n v="1495.98"/>
    <x v="2"/>
    <s v="Q1"/>
    <x v="0"/>
    <s v="Pending"/>
    <s v="No"/>
  </r>
  <r>
    <x v="1142"/>
    <d v="2024-08-23T00:00:00"/>
    <s v="C23405"/>
    <x v="1"/>
    <n v="4"/>
    <n v="695.1"/>
    <s v="484 Main St"/>
    <x v="0"/>
    <x v="2"/>
    <s v="TRK83678708"/>
    <n v="8"/>
    <m/>
    <x v="2"/>
    <n v="2780.4"/>
    <n v="2780.4"/>
    <x v="1"/>
    <s v="Q3"/>
    <x v="0"/>
    <s v="Pending"/>
    <s v="No"/>
  </r>
  <r>
    <x v="1143"/>
    <d v="2023-04-03T00:00:00"/>
    <s v="C41132"/>
    <x v="3"/>
    <n v="1"/>
    <n v="381.61"/>
    <s v="114 Main St"/>
    <x v="0"/>
    <x v="4"/>
    <s v="TRK51040137"/>
    <n v="5"/>
    <m/>
    <x v="2"/>
    <n v="381.61"/>
    <n v="381.61"/>
    <x v="6"/>
    <s v="Q2"/>
    <x v="1"/>
    <s v="Pending"/>
    <s v="No"/>
  </r>
  <r>
    <x v="1144"/>
    <d v="2023-02-16T00:00:00"/>
    <s v="C88463"/>
    <x v="6"/>
    <n v="5"/>
    <n v="507.94"/>
    <s v="292 Main St"/>
    <x v="1"/>
    <x v="1"/>
    <s v="TRK88749996"/>
    <n v="9"/>
    <m/>
    <x v="3"/>
    <n v="2539.6999999999998"/>
    <n v="2539.6999999999998"/>
    <x v="2"/>
    <s v="Q1"/>
    <x v="0"/>
    <s v="Pending"/>
    <s v="No"/>
  </r>
  <r>
    <x v="1145"/>
    <d v="2025-05-12T00:00:00"/>
    <s v="C28152"/>
    <x v="6"/>
    <n v="3"/>
    <n v="571.53"/>
    <s v="821 Main St"/>
    <x v="0"/>
    <x v="3"/>
    <s v="TRK59642814"/>
    <n v="6"/>
    <s v="FREESHIP"/>
    <x v="3"/>
    <n v="1714.59"/>
    <n v="1714.59"/>
    <x v="4"/>
    <s v="Q2"/>
    <x v="0"/>
    <s v="Completed"/>
    <s v="Yes"/>
  </r>
  <r>
    <x v="1146"/>
    <d v="2024-10-03T00:00:00"/>
    <s v="C36383"/>
    <x v="0"/>
    <n v="5"/>
    <n v="421.44"/>
    <s v="286 Main St"/>
    <x v="4"/>
    <x v="4"/>
    <s v="TRK93336357"/>
    <n v="5"/>
    <s v="SAVE10"/>
    <x v="0"/>
    <n v="2107.1999999999998"/>
    <n v="2107.1999999999998"/>
    <x v="3"/>
    <s v="Q4"/>
    <x v="0"/>
    <s v="Pending"/>
    <s v="Yes"/>
  </r>
  <r>
    <x v="1147"/>
    <d v="2025-01-02T00:00:00"/>
    <s v="C19759"/>
    <x v="3"/>
    <n v="2"/>
    <n v="588.29999999999995"/>
    <s v="234 Main St"/>
    <x v="1"/>
    <x v="4"/>
    <s v="TRK22515454"/>
    <n v="2"/>
    <s v="FREESHIP"/>
    <x v="2"/>
    <n v="1176.5999999999999"/>
    <n v="1176.5999999999999"/>
    <x v="0"/>
    <s v="Q1"/>
    <x v="0"/>
    <s v="Pending"/>
    <s v="Yes"/>
  </r>
  <r>
    <x v="1148"/>
    <d v="2024-06-25T00:00:00"/>
    <s v="C54886"/>
    <x v="1"/>
    <n v="1"/>
    <n v="355.15"/>
    <s v="442 Main St"/>
    <x v="4"/>
    <x v="2"/>
    <s v="TRK66241930"/>
    <n v="2"/>
    <s v="SAVE10"/>
    <x v="2"/>
    <n v="355.15"/>
    <n v="355.15"/>
    <x v="5"/>
    <s v="Q2"/>
    <x v="1"/>
    <s v="Pending"/>
    <s v="Yes"/>
  </r>
  <r>
    <x v="1149"/>
    <d v="2024-07-25T00:00:00"/>
    <s v="C27305"/>
    <x v="3"/>
    <n v="2"/>
    <n v="695.29"/>
    <s v="957 Main St"/>
    <x v="2"/>
    <x v="4"/>
    <s v="TRK28789916"/>
    <n v="6"/>
    <s v="FREESHIP"/>
    <x v="0"/>
    <n v="1390.58"/>
    <n v="1390.58"/>
    <x v="10"/>
    <s v="Q3"/>
    <x v="0"/>
    <s v="Pending"/>
    <s v="Yes"/>
  </r>
  <r>
    <x v="1150"/>
    <d v="2023-02-20T00:00:00"/>
    <s v="C17921"/>
    <x v="6"/>
    <n v="4"/>
    <n v="302.64999999999998"/>
    <s v="119 Main St"/>
    <x v="2"/>
    <x v="1"/>
    <s v="TRK79291524"/>
    <n v="8"/>
    <s v="SAVE10"/>
    <x v="1"/>
    <n v="1210.5999999999999"/>
    <n v="1210.5999999999999"/>
    <x v="2"/>
    <s v="Q1"/>
    <x v="0"/>
    <s v="Pending"/>
    <s v="Yes"/>
  </r>
  <r>
    <x v="1151"/>
    <d v="2023-01-29T00:00:00"/>
    <s v="C94381"/>
    <x v="3"/>
    <n v="2"/>
    <n v="608.04"/>
    <s v="962 Main St"/>
    <x v="4"/>
    <x v="1"/>
    <s v="TRK69804304"/>
    <n v="4"/>
    <m/>
    <x v="4"/>
    <n v="1216.08"/>
    <n v="1216.08"/>
    <x v="0"/>
    <s v="Q1"/>
    <x v="0"/>
    <s v="Pending"/>
    <s v="No"/>
  </r>
  <r>
    <x v="1152"/>
    <d v="2023-11-09T00:00:00"/>
    <s v="C25162"/>
    <x v="2"/>
    <n v="2"/>
    <n v="344.18"/>
    <s v="533 Main St"/>
    <x v="2"/>
    <x v="0"/>
    <s v="TRK42183078"/>
    <n v="7"/>
    <m/>
    <x v="1"/>
    <n v="688.36"/>
    <n v="688.36"/>
    <x v="7"/>
    <s v="Q4"/>
    <x v="0"/>
    <s v="Pending"/>
    <s v="No"/>
  </r>
  <r>
    <x v="1153"/>
    <d v="2024-12-16T00:00:00"/>
    <s v="C98317"/>
    <x v="0"/>
    <n v="4"/>
    <n v="696.71"/>
    <s v="276 Main St"/>
    <x v="0"/>
    <x v="0"/>
    <s v="TRK37172138"/>
    <n v="4"/>
    <m/>
    <x v="0"/>
    <n v="2786.84"/>
    <n v="2786.84"/>
    <x v="8"/>
    <s v="Q4"/>
    <x v="0"/>
    <s v="Pending"/>
    <s v="No"/>
  </r>
  <r>
    <x v="1154"/>
    <d v="2025-06-11T00:00:00"/>
    <s v="C53631"/>
    <x v="0"/>
    <n v="3"/>
    <n v="198.63"/>
    <s v="593 Main St"/>
    <x v="4"/>
    <x v="4"/>
    <s v="TRK67589167"/>
    <n v="8"/>
    <s v="SAVE10"/>
    <x v="0"/>
    <n v="595.89"/>
    <n v="595.89"/>
    <x v="5"/>
    <s v="Q2"/>
    <x v="0"/>
    <s v="Pending"/>
    <s v="Yes"/>
  </r>
  <r>
    <x v="1155"/>
    <d v="2023-08-13T00:00:00"/>
    <s v="C41478"/>
    <x v="4"/>
    <n v="4"/>
    <n v="534.57000000000005"/>
    <s v="667 Main St"/>
    <x v="2"/>
    <x v="3"/>
    <s v="TRK62068126"/>
    <n v="6"/>
    <s v="FREESHIP"/>
    <x v="3"/>
    <n v="2138.2800000000002"/>
    <n v="2138.2800000000002"/>
    <x v="1"/>
    <s v="Q3"/>
    <x v="0"/>
    <s v="Completed"/>
    <s v="Yes"/>
  </r>
  <r>
    <x v="1156"/>
    <d v="2023-07-19T00:00:00"/>
    <s v="C20512"/>
    <x v="5"/>
    <n v="4"/>
    <n v="690.78"/>
    <s v="980 Main St"/>
    <x v="2"/>
    <x v="0"/>
    <s v="TRK98234737"/>
    <n v="9"/>
    <m/>
    <x v="1"/>
    <n v="2763.12"/>
    <n v="2763.12"/>
    <x v="10"/>
    <s v="Q3"/>
    <x v="0"/>
    <s v="Pending"/>
    <s v="No"/>
  </r>
  <r>
    <x v="1157"/>
    <d v="2024-05-29T00:00:00"/>
    <s v="C25841"/>
    <x v="0"/>
    <n v="3"/>
    <n v="301.55"/>
    <s v="242 Main St"/>
    <x v="0"/>
    <x v="3"/>
    <s v="TRK21451375"/>
    <n v="5"/>
    <s v="FREESHIP"/>
    <x v="4"/>
    <n v="904.65000000000009"/>
    <n v="904.65000000000009"/>
    <x v="4"/>
    <s v="Q2"/>
    <x v="0"/>
    <s v="Completed"/>
    <s v="Yes"/>
  </r>
  <r>
    <x v="1158"/>
    <d v="2023-04-20T00:00:00"/>
    <s v="C82781"/>
    <x v="0"/>
    <n v="4"/>
    <n v="27.42"/>
    <s v="661 Main St"/>
    <x v="0"/>
    <x v="4"/>
    <s v="TRK20605418"/>
    <n v="4"/>
    <s v="SAVE10"/>
    <x v="1"/>
    <n v="109.68"/>
    <n v="109.68"/>
    <x v="6"/>
    <s v="Q2"/>
    <x v="1"/>
    <s v="Pending"/>
    <s v="Yes"/>
  </r>
  <r>
    <x v="1159"/>
    <d v="2024-02-23T00:00:00"/>
    <s v="C66112"/>
    <x v="6"/>
    <n v="4"/>
    <n v="466.7"/>
    <s v="874 Main St"/>
    <x v="0"/>
    <x v="2"/>
    <s v="TRK60955607"/>
    <n v="8"/>
    <m/>
    <x v="0"/>
    <n v="1866.8"/>
    <n v="1866.8"/>
    <x v="2"/>
    <s v="Q1"/>
    <x v="0"/>
    <s v="Pending"/>
    <s v="No"/>
  </r>
  <r>
    <x v="1160"/>
    <d v="2024-09-04T00:00:00"/>
    <s v="C40466"/>
    <x v="6"/>
    <n v="1"/>
    <n v="541.64"/>
    <s v="449 Main St"/>
    <x v="0"/>
    <x v="0"/>
    <s v="TRK70255168"/>
    <n v="5"/>
    <s v="SAVE10"/>
    <x v="2"/>
    <n v="541.64"/>
    <n v="541.64"/>
    <x v="11"/>
    <s v="Q3"/>
    <x v="0"/>
    <s v="Pending"/>
    <s v="Yes"/>
  </r>
  <r>
    <x v="1161"/>
    <d v="2023-10-16T00:00:00"/>
    <s v="C32570"/>
    <x v="1"/>
    <n v="1"/>
    <n v="11.39"/>
    <s v="826 Main St"/>
    <x v="4"/>
    <x v="1"/>
    <s v="TRK35969968"/>
    <n v="6"/>
    <s v="WINTER15"/>
    <x v="2"/>
    <n v="11.39"/>
    <n v="11.39"/>
    <x v="3"/>
    <s v="Q4"/>
    <x v="2"/>
    <s v="Pending"/>
    <s v="Yes"/>
  </r>
  <r>
    <x v="1162"/>
    <d v="2025-03-11T00:00:00"/>
    <s v="C29405"/>
    <x v="1"/>
    <n v="2"/>
    <n v="224.37"/>
    <s v="251 Main St"/>
    <x v="0"/>
    <x v="3"/>
    <s v="TRK33125798"/>
    <n v="3"/>
    <s v="WINTER15"/>
    <x v="1"/>
    <n v="448.74"/>
    <n v="448.74"/>
    <x v="9"/>
    <s v="Q1"/>
    <x v="1"/>
    <s v="Completed"/>
    <s v="Yes"/>
  </r>
  <r>
    <x v="1163"/>
    <d v="2024-06-11T00:00:00"/>
    <s v="C30643"/>
    <x v="5"/>
    <n v="3"/>
    <n v="306.29000000000002"/>
    <s v="966 Main St"/>
    <x v="2"/>
    <x v="2"/>
    <s v="TRK19477485"/>
    <n v="7"/>
    <s v="WINTER15"/>
    <x v="0"/>
    <n v="918.87000000000012"/>
    <n v="918.87000000000012"/>
    <x v="5"/>
    <s v="Q2"/>
    <x v="0"/>
    <s v="Pending"/>
    <s v="Yes"/>
  </r>
  <r>
    <x v="1164"/>
    <d v="2024-01-08T00:00:00"/>
    <s v="C65890"/>
    <x v="2"/>
    <n v="5"/>
    <n v="315.57"/>
    <s v="340 Main St"/>
    <x v="0"/>
    <x v="3"/>
    <s v="TRK64530489"/>
    <n v="6"/>
    <s v="WINTER15"/>
    <x v="2"/>
    <n v="1577.85"/>
    <n v="1577.85"/>
    <x v="0"/>
    <s v="Q1"/>
    <x v="0"/>
    <s v="Completed"/>
    <s v="Yes"/>
  </r>
  <r>
    <x v="1165"/>
    <d v="2023-07-14T00:00:00"/>
    <s v="C36992"/>
    <x v="3"/>
    <n v="3"/>
    <n v="223.79"/>
    <s v="617 Main St"/>
    <x v="0"/>
    <x v="4"/>
    <s v="TRK63460217"/>
    <n v="3"/>
    <m/>
    <x v="4"/>
    <n v="671.37"/>
    <n v="671.37"/>
    <x v="10"/>
    <s v="Q3"/>
    <x v="0"/>
    <s v="Pending"/>
    <s v="No"/>
  </r>
  <r>
    <x v="1166"/>
    <d v="2023-07-31T00:00:00"/>
    <s v="C95568"/>
    <x v="3"/>
    <n v="3"/>
    <n v="324.47000000000003"/>
    <s v="971 Main St"/>
    <x v="4"/>
    <x v="3"/>
    <s v="TRK37075292"/>
    <n v="4"/>
    <s v="WINTER15"/>
    <x v="2"/>
    <n v="973.41000000000008"/>
    <n v="973.41000000000008"/>
    <x v="10"/>
    <s v="Q3"/>
    <x v="0"/>
    <s v="Completed"/>
    <s v="Yes"/>
  </r>
  <r>
    <x v="1167"/>
    <d v="2023-10-17T00:00:00"/>
    <s v="C17966"/>
    <x v="4"/>
    <n v="2"/>
    <n v="92.87"/>
    <s v="360 Main St"/>
    <x v="2"/>
    <x v="4"/>
    <s v="TRK31169396"/>
    <n v="5"/>
    <s v="FREESHIP"/>
    <x v="3"/>
    <n v="185.74"/>
    <n v="185.74"/>
    <x v="3"/>
    <s v="Q4"/>
    <x v="1"/>
    <s v="Pending"/>
    <s v="Yes"/>
  </r>
  <r>
    <x v="1168"/>
    <d v="2023-04-08T00:00:00"/>
    <s v="C89559"/>
    <x v="5"/>
    <n v="2"/>
    <n v="331.42"/>
    <s v="297 Main St"/>
    <x v="2"/>
    <x v="3"/>
    <s v="TRK82838108"/>
    <n v="6"/>
    <s v="WINTER15"/>
    <x v="4"/>
    <n v="662.84"/>
    <n v="662.84"/>
    <x v="6"/>
    <s v="Q2"/>
    <x v="0"/>
    <s v="Completed"/>
    <s v="Yes"/>
  </r>
  <r>
    <x v="1169"/>
    <d v="2024-12-23T00:00:00"/>
    <s v="C15849"/>
    <x v="3"/>
    <n v="1"/>
    <n v="525.42999999999995"/>
    <s v="643 Main St"/>
    <x v="4"/>
    <x v="1"/>
    <s v="TRK26794546"/>
    <n v="2"/>
    <s v="SAVE10"/>
    <x v="0"/>
    <n v="525.42999999999995"/>
    <n v="525.42999999999995"/>
    <x v="8"/>
    <s v="Q4"/>
    <x v="0"/>
    <s v="Pending"/>
    <s v="Yes"/>
  </r>
  <r>
    <x v="1170"/>
    <d v="2023-08-03T00:00:00"/>
    <s v="C94257"/>
    <x v="4"/>
    <n v="2"/>
    <n v="697.19"/>
    <s v="762 Main St"/>
    <x v="4"/>
    <x v="2"/>
    <s v="TRK40220743"/>
    <n v="7"/>
    <s v="FREESHIP"/>
    <x v="2"/>
    <n v="1394.38"/>
    <n v="1394.38"/>
    <x v="1"/>
    <s v="Q3"/>
    <x v="0"/>
    <s v="Pending"/>
    <s v="Yes"/>
  </r>
  <r>
    <x v="1171"/>
    <d v="2023-08-28T00:00:00"/>
    <s v="C39911"/>
    <x v="1"/>
    <n v="4"/>
    <n v="518.4"/>
    <s v="699 Main St"/>
    <x v="2"/>
    <x v="3"/>
    <s v="TRK80431998"/>
    <n v="7"/>
    <s v="SAVE10"/>
    <x v="3"/>
    <n v="2073.6"/>
    <n v="2073.6"/>
    <x v="1"/>
    <s v="Q3"/>
    <x v="0"/>
    <s v="Completed"/>
    <s v="Yes"/>
  </r>
  <r>
    <x v="1172"/>
    <d v="2025-02-04T00:00:00"/>
    <s v="C28828"/>
    <x v="6"/>
    <n v="3"/>
    <n v="131.96"/>
    <s v="745 Main St"/>
    <x v="2"/>
    <x v="4"/>
    <s v="TRK32550359"/>
    <n v="8"/>
    <m/>
    <x v="0"/>
    <n v="395.88"/>
    <n v="395.88"/>
    <x v="2"/>
    <s v="Q1"/>
    <x v="1"/>
    <s v="Pending"/>
    <s v="No"/>
  </r>
  <r>
    <x v="1173"/>
    <d v="2024-10-04T00:00:00"/>
    <s v="C82921"/>
    <x v="0"/>
    <n v="1"/>
    <n v="208.36"/>
    <s v="703 Main St"/>
    <x v="1"/>
    <x v="0"/>
    <s v="TRK31079911"/>
    <n v="4"/>
    <s v="FREESHIP"/>
    <x v="2"/>
    <n v="208.36"/>
    <n v="208.36"/>
    <x v="3"/>
    <s v="Q4"/>
    <x v="1"/>
    <s v="Pending"/>
    <s v="Yes"/>
  </r>
  <r>
    <x v="1174"/>
    <d v="2023-11-27T00:00:00"/>
    <s v="C50159"/>
    <x v="4"/>
    <n v="3"/>
    <n v="222.34"/>
    <s v="105 Main St"/>
    <x v="2"/>
    <x v="2"/>
    <s v="TRK53737452"/>
    <n v="5"/>
    <s v="WINTER15"/>
    <x v="2"/>
    <n v="667.02"/>
    <n v="667.02"/>
    <x v="7"/>
    <s v="Q4"/>
    <x v="0"/>
    <s v="Pending"/>
    <s v="Yes"/>
  </r>
  <r>
    <x v="1175"/>
    <d v="2024-09-10T00:00:00"/>
    <s v="C62512"/>
    <x v="4"/>
    <n v="3"/>
    <n v="91.74"/>
    <s v="368 Main St"/>
    <x v="0"/>
    <x v="2"/>
    <s v="TRK24139954"/>
    <n v="8"/>
    <s v="FREESHIP"/>
    <x v="1"/>
    <n v="275.22000000000003"/>
    <n v="275.21999999999997"/>
    <x v="11"/>
    <s v="Q3"/>
    <x v="1"/>
    <s v="Pending"/>
    <s v="Yes"/>
  </r>
  <r>
    <x v="1176"/>
    <d v="2023-08-13T00:00:00"/>
    <s v="C39260"/>
    <x v="2"/>
    <n v="2"/>
    <n v="213.83"/>
    <s v="374 Main St"/>
    <x v="0"/>
    <x v="1"/>
    <s v="TRK55587314"/>
    <n v="2"/>
    <s v="WINTER15"/>
    <x v="2"/>
    <n v="427.66"/>
    <n v="427.66"/>
    <x v="1"/>
    <s v="Q3"/>
    <x v="1"/>
    <s v="Pending"/>
    <s v="Yes"/>
  </r>
  <r>
    <x v="1177"/>
    <d v="2023-04-27T00:00:00"/>
    <s v="C23917"/>
    <x v="4"/>
    <n v="1"/>
    <n v="127.55"/>
    <s v="433 Main St"/>
    <x v="4"/>
    <x v="0"/>
    <s v="TRK44434536"/>
    <n v="3"/>
    <s v="SAVE10"/>
    <x v="1"/>
    <n v="127.55"/>
    <n v="127.55"/>
    <x v="6"/>
    <s v="Q2"/>
    <x v="1"/>
    <s v="Pending"/>
    <s v="Yes"/>
  </r>
  <r>
    <x v="1178"/>
    <d v="2024-09-08T00:00:00"/>
    <s v="C65107"/>
    <x v="0"/>
    <n v="1"/>
    <n v="70.239999999999995"/>
    <s v="456 Main St"/>
    <x v="2"/>
    <x v="1"/>
    <s v="TRK10261578"/>
    <n v="4"/>
    <s v="FREESHIP"/>
    <x v="4"/>
    <n v="70.239999999999995"/>
    <n v="70.239999999999995"/>
    <x v="11"/>
    <s v="Q3"/>
    <x v="2"/>
    <s v="Pending"/>
    <s v="Yes"/>
  </r>
  <r>
    <x v="1179"/>
    <d v="2023-01-08T00:00:00"/>
    <s v="C84630"/>
    <x v="5"/>
    <n v="5"/>
    <n v="518.54999999999995"/>
    <s v="907 Main St"/>
    <x v="2"/>
    <x v="1"/>
    <s v="TRK48054997"/>
    <n v="6"/>
    <s v="WINTER15"/>
    <x v="0"/>
    <n v="2592.75"/>
    <n v="2592.75"/>
    <x v="0"/>
    <s v="Q1"/>
    <x v="0"/>
    <s v="Pending"/>
    <s v="Yes"/>
  </r>
  <r>
    <x v="1180"/>
    <d v="2023-10-31T00:00:00"/>
    <s v="C42235"/>
    <x v="3"/>
    <n v="4"/>
    <n v="298.36"/>
    <s v="722 Main St"/>
    <x v="0"/>
    <x v="4"/>
    <s v="TRK49379882"/>
    <n v="8"/>
    <s v="FREESHIP"/>
    <x v="4"/>
    <n v="1193.44"/>
    <n v="1193.44"/>
    <x v="3"/>
    <s v="Q4"/>
    <x v="0"/>
    <s v="Pending"/>
    <s v="Yes"/>
  </r>
  <r>
    <x v="1181"/>
    <d v="2023-07-27T00:00:00"/>
    <s v="C70246"/>
    <x v="6"/>
    <n v="3"/>
    <n v="158.74"/>
    <s v="293 Main St"/>
    <x v="1"/>
    <x v="4"/>
    <s v="TRK45708320"/>
    <n v="7"/>
    <s v="FREESHIP"/>
    <x v="0"/>
    <n v="476.22"/>
    <n v="476.22"/>
    <x v="10"/>
    <s v="Q3"/>
    <x v="1"/>
    <s v="Pending"/>
    <s v="Yes"/>
  </r>
  <r>
    <x v="1182"/>
    <d v="2025-06-14T00:00:00"/>
    <s v="C18473"/>
    <x v="3"/>
    <n v="2"/>
    <n v="420.29"/>
    <s v="700 Main St"/>
    <x v="3"/>
    <x v="2"/>
    <s v="TRK97834202"/>
    <n v="3"/>
    <s v="SAVE10"/>
    <x v="4"/>
    <n v="840.58"/>
    <n v="840.58"/>
    <x v="5"/>
    <s v="Q2"/>
    <x v="0"/>
    <s v="Pending"/>
    <s v="Yes"/>
  </r>
  <r>
    <x v="1183"/>
    <d v="2023-04-05T00:00:00"/>
    <s v="C12607"/>
    <x v="6"/>
    <n v="1"/>
    <n v="281.52"/>
    <s v="460 Main St"/>
    <x v="3"/>
    <x v="0"/>
    <s v="TRK83653396"/>
    <n v="6"/>
    <s v="WINTER15"/>
    <x v="1"/>
    <n v="281.52"/>
    <n v="281.52"/>
    <x v="6"/>
    <s v="Q2"/>
    <x v="1"/>
    <s v="Pending"/>
    <s v="Yes"/>
  </r>
  <r>
    <x v="1184"/>
    <d v="2023-09-27T00:00:00"/>
    <s v="C10222"/>
    <x v="5"/>
    <n v="1"/>
    <n v="204.08"/>
    <s v="979 Main St"/>
    <x v="3"/>
    <x v="2"/>
    <s v="TRK86297895"/>
    <n v="4"/>
    <m/>
    <x v="4"/>
    <n v="204.08"/>
    <n v="204.08"/>
    <x v="11"/>
    <s v="Q3"/>
    <x v="1"/>
    <s v="Pending"/>
    <s v="No"/>
  </r>
  <r>
    <x v="1185"/>
    <d v="2024-07-08T00:00:00"/>
    <s v="C77344"/>
    <x v="3"/>
    <n v="1"/>
    <n v="343.31"/>
    <s v="777 Main St"/>
    <x v="3"/>
    <x v="2"/>
    <s v="TRK20605055"/>
    <n v="6"/>
    <s v="SAVE10"/>
    <x v="4"/>
    <n v="343.31"/>
    <n v="343.31"/>
    <x v="10"/>
    <s v="Q3"/>
    <x v="1"/>
    <s v="Pending"/>
    <s v="Yes"/>
  </r>
  <r>
    <x v="1186"/>
    <d v="2023-11-18T00:00:00"/>
    <s v="C65497"/>
    <x v="0"/>
    <n v="1"/>
    <n v="163.32"/>
    <s v="676 Main St"/>
    <x v="4"/>
    <x v="0"/>
    <s v="TRK83702761"/>
    <n v="6"/>
    <s v="WINTER15"/>
    <x v="3"/>
    <n v="163.32"/>
    <n v="163.32"/>
    <x v="7"/>
    <s v="Q4"/>
    <x v="1"/>
    <s v="Pending"/>
    <s v="Yes"/>
  </r>
  <r>
    <x v="1187"/>
    <d v="2024-03-13T00:00:00"/>
    <s v="C26340"/>
    <x v="6"/>
    <n v="2"/>
    <n v="184.6"/>
    <s v="562 Main St"/>
    <x v="3"/>
    <x v="3"/>
    <s v="TRK59962703"/>
    <n v="7"/>
    <s v="WINTER15"/>
    <x v="2"/>
    <n v="369.2"/>
    <n v="369.2"/>
    <x v="9"/>
    <s v="Q1"/>
    <x v="1"/>
    <s v="Completed"/>
    <s v="Yes"/>
  </r>
  <r>
    <x v="1188"/>
    <d v="2023-10-07T00:00:00"/>
    <s v="C75619"/>
    <x v="4"/>
    <n v="2"/>
    <n v="371.29"/>
    <s v="924 Main St"/>
    <x v="3"/>
    <x v="0"/>
    <s v="TRK23086941"/>
    <n v="5"/>
    <s v="WINTER15"/>
    <x v="3"/>
    <n v="742.58"/>
    <n v="742.58"/>
    <x v="3"/>
    <s v="Q4"/>
    <x v="0"/>
    <s v="Pending"/>
    <s v="Yes"/>
  </r>
  <r>
    <x v="1189"/>
    <d v="2024-08-17T00:00:00"/>
    <s v="C96136"/>
    <x v="2"/>
    <n v="5"/>
    <n v="389.22"/>
    <s v="149 Main St"/>
    <x v="4"/>
    <x v="1"/>
    <s v="TRK60856682"/>
    <n v="7"/>
    <m/>
    <x v="1"/>
    <n v="1946.1"/>
    <n v="1946.1000000000001"/>
    <x v="1"/>
    <s v="Q3"/>
    <x v="0"/>
    <s v="Pending"/>
    <s v="No"/>
  </r>
  <r>
    <x v="1190"/>
    <d v="2025-06-08T00:00:00"/>
    <s v="C46886"/>
    <x v="6"/>
    <n v="3"/>
    <n v="616.39"/>
    <s v="754 Main St"/>
    <x v="2"/>
    <x v="0"/>
    <s v="TRK82791646"/>
    <n v="6"/>
    <s v="FREESHIP"/>
    <x v="0"/>
    <n v="1849.17"/>
    <n v="1849.17"/>
    <x v="5"/>
    <s v="Q2"/>
    <x v="0"/>
    <s v="Pending"/>
    <s v="Yes"/>
  </r>
  <r>
    <x v="1191"/>
    <d v="2025-02-10T00:00:00"/>
    <s v="C44148"/>
    <x v="6"/>
    <n v="4"/>
    <n v="376.43"/>
    <s v="809 Main St"/>
    <x v="3"/>
    <x v="4"/>
    <s v="TRK67872709"/>
    <n v="5"/>
    <s v="WINTER15"/>
    <x v="0"/>
    <n v="1505.72"/>
    <n v="1505.72"/>
    <x v="2"/>
    <s v="Q1"/>
    <x v="0"/>
    <s v="Pending"/>
    <s v="Yes"/>
  </r>
  <r>
    <x v="1192"/>
    <d v="2024-02-28T00:00:00"/>
    <s v="C72007"/>
    <x v="3"/>
    <n v="3"/>
    <n v="432.85"/>
    <s v="999 Main St"/>
    <x v="1"/>
    <x v="4"/>
    <s v="TRK16240916"/>
    <n v="4"/>
    <m/>
    <x v="0"/>
    <n v="1298.55"/>
    <n v="1298.5500000000002"/>
    <x v="2"/>
    <s v="Q1"/>
    <x v="0"/>
    <s v="Pending"/>
    <s v="No"/>
  </r>
  <r>
    <x v="1193"/>
    <d v="2025-06-16T00:00:00"/>
    <s v="C45104"/>
    <x v="2"/>
    <n v="1"/>
    <n v="687.89"/>
    <s v="348 Main St"/>
    <x v="4"/>
    <x v="2"/>
    <s v="TRK38559816"/>
    <n v="1"/>
    <s v="FREESHIP"/>
    <x v="2"/>
    <n v="687.89"/>
    <n v="687.89"/>
    <x v="5"/>
    <s v="Q2"/>
    <x v="0"/>
    <s v="Pending"/>
    <s v="Yes"/>
  </r>
  <r>
    <x v="1194"/>
    <d v="2023-11-19T00:00:00"/>
    <s v="C29885"/>
    <x v="4"/>
    <n v="3"/>
    <n v="189.44"/>
    <s v="725 Main St"/>
    <x v="4"/>
    <x v="4"/>
    <s v="TRK62067865"/>
    <n v="4"/>
    <s v="FREESHIP"/>
    <x v="2"/>
    <n v="568.31999999999994"/>
    <n v="568.31999999999994"/>
    <x v="7"/>
    <s v="Q4"/>
    <x v="0"/>
    <s v="Pending"/>
    <s v="Yes"/>
  </r>
  <r>
    <x v="1195"/>
    <d v="2024-06-20T00:00:00"/>
    <s v="C21126"/>
    <x v="6"/>
    <n v="1"/>
    <n v="107.04"/>
    <s v="392 Main St"/>
    <x v="2"/>
    <x v="1"/>
    <s v="TRK38009181"/>
    <n v="6"/>
    <s v="FREESHIP"/>
    <x v="4"/>
    <n v="107.04"/>
    <n v="107.04"/>
    <x v="5"/>
    <s v="Q2"/>
    <x v="1"/>
    <s v="Pending"/>
    <s v="Yes"/>
  </r>
  <r>
    <x v="1196"/>
    <d v="2024-03-04T00:00:00"/>
    <s v="C20095"/>
    <x v="0"/>
    <n v="2"/>
    <n v="662.53"/>
    <s v="778 Main St"/>
    <x v="1"/>
    <x v="1"/>
    <s v="TRK69207593"/>
    <n v="5"/>
    <m/>
    <x v="3"/>
    <n v="1325.06"/>
    <n v="1325.06"/>
    <x v="9"/>
    <s v="Q1"/>
    <x v="0"/>
    <s v="Pending"/>
    <s v="No"/>
  </r>
  <r>
    <x v="1197"/>
    <d v="2023-07-13T00:00:00"/>
    <s v="C79674"/>
    <x v="2"/>
    <n v="2"/>
    <n v="436.84"/>
    <s v="275 Main St"/>
    <x v="1"/>
    <x v="3"/>
    <s v="TRK88039356"/>
    <n v="2"/>
    <s v="FREESHIP"/>
    <x v="0"/>
    <n v="873.68"/>
    <n v="873.68"/>
    <x v="10"/>
    <s v="Q3"/>
    <x v="0"/>
    <s v="Completed"/>
    <s v="Yes"/>
  </r>
  <r>
    <x v="1198"/>
    <d v="2024-08-22T00:00:00"/>
    <s v="C64753"/>
    <x v="3"/>
    <n v="4"/>
    <n v="262.52"/>
    <s v="509 Main St"/>
    <x v="0"/>
    <x v="1"/>
    <s v="TRK71683331"/>
    <n v="4"/>
    <s v="WINTER15"/>
    <x v="0"/>
    <n v="1050.08"/>
    <n v="1050.08"/>
    <x v="1"/>
    <s v="Q3"/>
    <x v="0"/>
    <s v="Pending"/>
    <s v="Yes"/>
  </r>
  <r>
    <x v="1199"/>
    <d v="2023-06-11T00:00:00"/>
    <s v="C57502"/>
    <x v="2"/>
    <n v="4"/>
    <n v="560.58000000000004"/>
    <s v="201 Main St"/>
    <x v="3"/>
    <x v="2"/>
    <s v="TRK51116746"/>
    <n v="6"/>
    <s v="SAVE10"/>
    <x v="1"/>
    <n v="2242.3200000000002"/>
    <n v="2242.3200000000002"/>
    <x v="5"/>
    <s v="Q2"/>
    <x v="0"/>
    <s v="Pending"/>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Payment_Method">
  <location ref="D3:E9" firstHeaderRow="1" firstDataRow="1" firstDataCol="1"/>
  <pivotFields count="20">
    <pivotField dataField="1" showAll="0"/>
    <pivotField numFmtId="164" showAll="0"/>
    <pivotField showAll="0"/>
    <pivotField showAll="0">
      <items count="8">
        <item x="3"/>
        <item x="6"/>
        <item x="5"/>
        <item x="0"/>
        <item x="1"/>
        <item x="4"/>
        <item x="2"/>
        <item t="default"/>
      </items>
    </pivotField>
    <pivotField showAll="0"/>
    <pivotField showAll="0"/>
    <pivotField showAll="0"/>
    <pivotField axis="axisRow" showAll="0">
      <items count="6">
        <item x="4"/>
        <item x="2"/>
        <item x="0"/>
        <item x="3"/>
        <item x="1"/>
        <item t="default"/>
      </items>
    </pivotField>
    <pivotField showAll="0"/>
    <pivotField showAll="0"/>
    <pivotField showAll="0"/>
    <pivotField showAll="0"/>
    <pivotField showAll="0">
      <items count="6">
        <item x="2"/>
        <item x="3"/>
        <item x="4"/>
        <item x="0"/>
        <item x="1"/>
        <item t="default"/>
      </items>
    </pivotField>
    <pivotField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s>
  <rowFields count="1">
    <field x="7"/>
  </rowFields>
  <rowItems count="6">
    <i>
      <x/>
    </i>
    <i>
      <x v="1"/>
    </i>
    <i>
      <x v="2"/>
    </i>
    <i>
      <x v="3"/>
    </i>
    <i>
      <x v="4"/>
    </i>
    <i t="grand">
      <x/>
    </i>
  </rowItems>
  <colItems count="1">
    <i/>
  </colItems>
  <dataFields count="1">
    <dataField name="Count of Order_I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 chart="3"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ayment_Method">
  <location ref="G15:G16" firstHeaderRow="1" firstDataRow="1" firstDataCol="0"/>
  <pivotFields count="20">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s>
  <rowItems count="1">
    <i/>
  </rowItems>
  <colItems count="1">
    <i/>
  </colItems>
  <dataFields count="1">
    <dataField name="Total Orders" fld="0" subtotal="count" baseField="0" baseItem="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Payment_Method">
  <location ref="G3:H9" firstHeaderRow="1" firstDataRow="1" firstDataCol="1"/>
  <pivotFields count="20">
    <pivotField dataField="1" showAll="0"/>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_I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Product">
  <location ref="A3:B11" firstHeaderRow="1" firstDataRow="1" firstDataCol="1"/>
  <pivotFields count="20">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items count="6">
        <item x="2"/>
        <item x="3"/>
        <item x="4"/>
        <item x="0"/>
        <item x="1"/>
        <item t="default"/>
      </items>
    </pivotField>
    <pivotField showAll="0"/>
    <pivotField dataField="1" showAll="0"/>
    <pivotField showAll="0">
      <items count="13">
        <item x="0"/>
        <item x="2"/>
        <item x="9"/>
        <item x="6"/>
        <item x="4"/>
        <item x="5"/>
        <item x="10"/>
        <item x="1"/>
        <item x="11"/>
        <item x="3"/>
        <item x="7"/>
        <item x="8"/>
        <item t="default"/>
      </items>
    </pivotField>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Revenue" fld="14" baseField="0" baseItem="0" numFmtId="165"/>
  </dataFields>
  <formats count="2">
    <format dxfId="2">
      <pivotArea outline="0" collapsedLevelsAreSubtotals="1" fieldPosition="0"/>
    </format>
    <format dxfId="1">
      <pivotArea dataOnly="0" labelOnly="1" outline="0" axis="axisValues" fieldPosition="0"/>
    </format>
  </formats>
  <chartFormats count="8">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0"/>
          </reference>
        </references>
      </pivotArea>
    </chartFormat>
    <chartFormat chart="7" format="4">
      <pivotArea type="data" outline="0" fieldPosition="0">
        <references count="2">
          <reference field="4294967294" count="1" selected="0">
            <x v="0"/>
          </reference>
          <reference field="3" count="1" selected="0">
            <x v="1"/>
          </reference>
        </references>
      </pivotArea>
    </chartFormat>
    <chartFormat chart="7" format="5">
      <pivotArea type="data" outline="0" fieldPosition="0">
        <references count="2">
          <reference field="4294967294" count="1" selected="0">
            <x v="0"/>
          </reference>
          <reference field="3" count="1" selected="0">
            <x v="2"/>
          </reference>
        </references>
      </pivotArea>
    </chartFormat>
    <chartFormat chart="7" format="6">
      <pivotArea type="data" outline="0" fieldPosition="0">
        <references count="2">
          <reference field="4294967294" count="1" selected="0">
            <x v="0"/>
          </reference>
          <reference field="3" count="1" selected="0">
            <x v="3"/>
          </reference>
        </references>
      </pivotArea>
    </chartFormat>
    <chartFormat chart="7" format="7">
      <pivotArea type="data" outline="0" fieldPosition="0">
        <references count="2">
          <reference field="4294967294" count="1" selected="0">
            <x v="0"/>
          </reference>
          <reference field="3" count="1" selected="0">
            <x v="4"/>
          </reference>
        </references>
      </pivotArea>
    </chartFormat>
    <chartFormat chart="7" format="8">
      <pivotArea type="data" outline="0" fieldPosition="0">
        <references count="2">
          <reference field="4294967294" count="1" selected="0">
            <x v="0"/>
          </reference>
          <reference field="3" count="1" selected="0">
            <x v="5"/>
          </reference>
        </references>
      </pivotArea>
    </chartFormat>
    <chartFormat chart="7" format="9">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Payment_Method">
  <location ref="A14:B20" firstHeaderRow="1" firstDataRow="1" firstDataCol="1"/>
  <pivotFields count="20">
    <pivotField showAll="0"/>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showAll="0"/>
    <pivotField dataField="1" showAll="0"/>
    <pivotField showAll="0">
      <items count="13">
        <item x="0"/>
        <item x="2"/>
        <item x="9"/>
        <item x="6"/>
        <item x="4"/>
        <item x="5"/>
        <item x="10"/>
        <item x="1"/>
        <item x="11"/>
        <item x="3"/>
        <item x="7"/>
        <item x="8"/>
        <item t="default"/>
      </items>
    </pivotField>
    <pivotField showAll="0"/>
    <pivotField showAll="0"/>
    <pivotField showAll="0"/>
    <pivotField showAll="0"/>
  </pivotFields>
  <rowFields count="1">
    <field x="12"/>
  </rowFields>
  <rowItems count="6">
    <i>
      <x/>
    </i>
    <i>
      <x v="1"/>
    </i>
    <i>
      <x v="2"/>
    </i>
    <i>
      <x v="3"/>
    </i>
    <i>
      <x v="4"/>
    </i>
    <i t="grand">
      <x/>
    </i>
  </rowItems>
  <colItems count="1">
    <i/>
  </colItems>
  <dataFields count="1">
    <dataField name="Sum of  Revenue" fld="14" baseField="0" baseItem="0" numFmtId="165"/>
  </dataFields>
  <formats count="2">
    <format dxfId="4">
      <pivotArea outline="0" collapsedLevelsAreSubtotals="1" fieldPosition="0"/>
    </format>
    <format dxfId="3">
      <pivotArea dataOnly="0" labelOnly="1" outline="0" axis="axisValues"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 chart="3" format="4">
      <pivotArea type="data" outline="0" fieldPosition="0">
        <references count="2">
          <reference field="4294967294" count="1" selected="0">
            <x v="0"/>
          </reference>
          <reference field="12" count="1" selected="0">
            <x v="1"/>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3"/>
          </reference>
        </references>
      </pivotArea>
    </chartFormat>
    <chartFormat chart="3" format="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ayment_Method">
  <location ref="G18:G19" firstHeaderRow="1" firstDataRow="1" firstDataCol="0"/>
  <pivotFields count="2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 dataField="1" showAll="0"/>
    <pivotField showAll="0">
      <items count="13">
        <item x="0"/>
        <item x="2"/>
        <item x="9"/>
        <item x="6"/>
        <item x="4"/>
        <item x="5"/>
        <item x="10"/>
        <item x="1"/>
        <item x="11"/>
        <item x="3"/>
        <item x="7"/>
        <item x="8"/>
        <item t="default"/>
      </items>
    </pivotField>
    <pivotField showAll="0"/>
    <pivotField showAll="0">
      <items count="4">
        <item x="0"/>
        <item x="1"/>
        <item x="2"/>
        <item t="default"/>
      </items>
    </pivotField>
    <pivotField showAll="0"/>
    <pivotField showAll="0"/>
  </pivotFields>
  <rowItems count="1">
    <i/>
  </rowItems>
  <colItems count="1">
    <i/>
  </colItems>
  <dataFields count="1">
    <dataField name="Average Order Value" fld="14" subtotal="average" baseField="0" baseItem="4"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Payment_Method">
  <location ref="D12:E25" firstHeaderRow="1" firstDataRow="1" firstDataCol="1"/>
  <pivotFields count="20">
    <pivotField showAll="0"/>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 dataField="1" showAll="0"/>
    <pivotField axis="axisRow" showAll="0">
      <items count="13">
        <item x="0"/>
        <item x="2"/>
        <item x="9"/>
        <item x="6"/>
        <item x="4"/>
        <item x="5"/>
        <item x="10"/>
        <item x="1"/>
        <item x="11"/>
        <item x="3"/>
        <item x="7"/>
        <item x="8"/>
        <item t="default"/>
      </items>
    </pivotField>
    <pivotField showAll="0"/>
    <pivotField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Revenue" fld="14" baseField="0" baseItem="0" numFmtId="165"/>
  </dataFields>
  <formats count="2">
    <format dxfId="7">
      <pivotArea outline="0" collapsedLevelsAreSubtotals="1" fieldPosition="0"/>
    </format>
    <format dxfId="6">
      <pivotArea dataOnly="0" labelOnly="1" outline="0" axis="axisValues" fieldPosition="0"/>
    </format>
  </formats>
  <chartFormats count="1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3" format="4">
      <pivotArea type="data" outline="0" fieldPosition="0">
        <references count="2">
          <reference field="4294967294" count="1" selected="0">
            <x v="0"/>
          </reference>
          <reference field="15" count="1" selected="0">
            <x v="3"/>
          </reference>
        </references>
      </pivotArea>
    </chartFormat>
    <chartFormat chart="3" format="5">
      <pivotArea type="data" outline="0" fieldPosition="0">
        <references count="2">
          <reference field="4294967294" count="1" selected="0">
            <x v="0"/>
          </reference>
          <reference field="15" count="1" selected="0">
            <x v="2"/>
          </reference>
        </references>
      </pivotArea>
    </chartFormat>
    <chartFormat chart="3" format="6">
      <pivotArea type="data" outline="0" fieldPosition="0">
        <references count="2">
          <reference field="4294967294" count="1" selected="0">
            <x v="0"/>
          </reference>
          <reference field="15" count="1" selected="0">
            <x v="4"/>
          </reference>
        </references>
      </pivotArea>
    </chartFormat>
    <chartFormat chart="3" format="7">
      <pivotArea type="data" outline="0" fieldPosition="0">
        <references count="2">
          <reference field="4294967294" count="1" selected="0">
            <x v="0"/>
          </reference>
          <reference field="15" count="1" selected="0">
            <x v="5"/>
          </reference>
        </references>
      </pivotArea>
    </chartFormat>
    <chartFormat chart="3" format="8">
      <pivotArea type="data" outline="0" fieldPosition="0">
        <references count="2">
          <reference field="4294967294" count="1" selected="0">
            <x v="0"/>
          </reference>
          <reference field="15" count="1" selected="0">
            <x v="7"/>
          </reference>
        </references>
      </pivotArea>
    </chartFormat>
    <chartFormat chart="3" format="9">
      <pivotArea type="data" outline="0" fieldPosition="0">
        <references count="2">
          <reference field="4294967294" count="1" selected="0">
            <x v="0"/>
          </reference>
          <reference field="15" count="1" selected="0">
            <x v="6"/>
          </reference>
        </references>
      </pivotArea>
    </chartFormat>
    <chartFormat chart="3" format="10">
      <pivotArea type="data" outline="0" fieldPosition="0">
        <references count="2">
          <reference field="4294967294" count="1" selected="0">
            <x v="0"/>
          </reference>
          <reference field="15" count="1" selected="0">
            <x v="8"/>
          </reference>
        </references>
      </pivotArea>
    </chartFormat>
    <chartFormat chart="3" format="11">
      <pivotArea type="data" outline="0" fieldPosition="0">
        <references count="2">
          <reference field="4294967294" count="1" selected="0">
            <x v="0"/>
          </reference>
          <reference field="15" count="1" selected="0">
            <x v="10"/>
          </reference>
        </references>
      </pivotArea>
    </chartFormat>
    <chartFormat chart="3" format="12">
      <pivotArea type="data" outline="0" fieldPosition="0">
        <references count="2">
          <reference field="4294967294" count="1" selected="0">
            <x v="0"/>
          </reference>
          <reference field="15" count="1" selected="0">
            <x v="11"/>
          </reference>
        </references>
      </pivotArea>
    </chartFormat>
    <chartFormat chart="3" format="13">
      <pivotArea type="data" outline="0" fieldPosition="0">
        <references count="2">
          <reference field="4294967294" count="1" selected="0">
            <x v="0"/>
          </reference>
          <reference field="15" count="1" selected="0">
            <x v="9"/>
          </reference>
        </references>
      </pivotArea>
    </chartFormat>
    <chartFormat chart="3" format="14">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ayment_Method">
  <location ref="G12:G13" firstHeaderRow="1" firstDataRow="1" firstDataCol="0"/>
  <pivotFields count="20">
    <pivotField showAll="0"/>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 dataField="1" showAll="0"/>
    <pivotField showAll="0">
      <items count="13">
        <item x="0"/>
        <item x="2"/>
        <item x="9"/>
        <item x="6"/>
        <item x="4"/>
        <item x="5"/>
        <item x="10"/>
        <item x="1"/>
        <item x="11"/>
        <item x="3"/>
        <item x="7"/>
        <item x="8"/>
        <item t="default"/>
      </items>
    </pivotField>
    <pivotField showAll="0"/>
    <pivotField showAll="0"/>
    <pivotField showAll="0"/>
    <pivotField showAll="0"/>
  </pivotFields>
  <rowItems count="1">
    <i/>
  </rowItems>
  <colItems count="1">
    <i/>
  </colItems>
  <dataFields count="1">
    <dataField name="Total Revenue" fld="14" baseField="0" baseItem="4"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ferral_Source" sourceName="Referral_Sourc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
      <items count="12">
        <i x="0" s="1"/>
        <i x="2" s="1"/>
        <i x="9" s="1"/>
        <i x="6" s="1"/>
        <i x="4" s="1"/>
        <i x="5" s="1"/>
        <i x="10" s="1"/>
        <i x="1" s="1"/>
        <i x="11" s="1"/>
        <i x="3"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columnCount="2" style="SlicerStyleLight4" rowHeight="241300"/>
  <slicer name="Referral_Source" cache="Slicer_Referral_Source" caption="Referral_Source" columnCount="2" style="SlicerStyleLight4" rowHeight="241300"/>
  <slicer name="Month" cache="Slicer_Month" caption="Month" columnCount="2" style="SlicerStyleLight4" rowHeight="241300"/>
</slicers>
</file>

<file path=xl/tables/table1.xml><?xml version="1.0" encoding="utf-8"?>
<table xmlns="http://schemas.openxmlformats.org/spreadsheetml/2006/main" id="1" name="Sales_Table" displayName="Sales_Table" ref="A1:T1201" totalsRowShown="0" headerRowDxfId="18" headerRowBorderDxfId="17" tableBorderDxfId="16">
  <autoFilter ref="A1:T1201"/>
  <tableColumns count="20">
    <tableColumn id="1" name="Order_ID"/>
    <tableColumn id="2" name="Date" dataDxfId="15"/>
    <tableColumn id="3" name="Customer_ID"/>
    <tableColumn id="4" name="Product"/>
    <tableColumn id="5" name="Quantity"/>
    <tableColumn id="6" name="Unit_Price"/>
    <tableColumn id="7" name="Shipping_Address"/>
    <tableColumn id="8" name="Payment_Method"/>
    <tableColumn id="9" name="Order_Status"/>
    <tableColumn id="10" name="Tracking_Number"/>
    <tableColumn id="11" name="Items_In_Cart"/>
    <tableColumn id="12" name="Coupon_Code"/>
    <tableColumn id="13" name="Referral_Source"/>
    <tableColumn id="14" name="Total_Price"/>
    <tableColumn id="15" name=" Revenue" dataDxfId="14">
      <calculatedColumnFormula>E2*F2</calculatedColumnFormula>
    </tableColumn>
    <tableColumn id="16" name="Month" dataDxfId="13">
      <calculatedColumnFormula>TEXT(B2, "mmm")</calculatedColumnFormula>
    </tableColumn>
    <tableColumn id="17" name="Quarter" dataDxfId="12">
      <calculatedColumnFormula>"Q"&amp;ROUNDUP(MONTH(B2)/3,0)</calculatedColumnFormula>
    </tableColumn>
    <tableColumn id="18" name="Order_Category" dataDxfId="11">
      <calculatedColumnFormula>IF(N2&lt;100,"Small", IF(N2&lt;500, "Medium", "Large"))</calculatedColumnFormula>
    </tableColumn>
    <tableColumn id="19" name="Shipping_Status" dataDxfId="10">
      <calculatedColumnFormula>IF(I2="Delivered","Completed","Pending")</calculatedColumnFormula>
    </tableColumn>
    <tableColumn id="20" name="Discount_Used" dataDxfId="9">
      <calculatedColumnFormula>IF(L2="","No", "Yes")</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id="2" name="Table2" displayName="Table2" ref="V1:Y6" totalsRowShown="0">
  <autoFilter ref="V1:Y6"/>
  <tableColumns count="4">
    <tableColumn id="1" name="Metrics"/>
    <tableColumn id="2" name="Quantity"/>
    <tableColumn id="3" name="Unit_Price"/>
    <tableColumn id="4" name="Total_Price"/>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workbookViewId="0">
      <selection activeCell="E20" sqref="A1:N1201"/>
    </sheetView>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2">
        <v>44930</v>
      </c>
      <c r="C2" t="s">
        <v>1214</v>
      </c>
      <c r="D2" t="s">
        <v>2403</v>
      </c>
      <c r="E2">
        <v>5</v>
      </c>
      <c r="F2">
        <v>570.62</v>
      </c>
      <c r="G2" t="s">
        <v>2410</v>
      </c>
      <c r="H2" t="s">
        <v>3065</v>
      </c>
      <c r="I2" t="s">
        <v>3070</v>
      </c>
      <c r="J2" t="s">
        <v>3075</v>
      </c>
      <c r="K2">
        <v>7</v>
      </c>
      <c r="L2" t="s">
        <v>4275</v>
      </c>
      <c r="M2" t="s">
        <v>4278</v>
      </c>
      <c r="N2">
        <v>2853.1</v>
      </c>
    </row>
    <row r="3" spans="1:14" x14ac:dyDescent="0.35">
      <c r="A3" t="s">
        <v>15</v>
      </c>
      <c r="B3" s="2">
        <v>45527</v>
      </c>
      <c r="C3" t="s">
        <v>1215</v>
      </c>
      <c r="D3" t="s">
        <v>2404</v>
      </c>
      <c r="E3">
        <v>2</v>
      </c>
      <c r="F3">
        <v>151.35</v>
      </c>
      <c r="G3" t="s">
        <v>2411</v>
      </c>
      <c r="H3" t="s">
        <v>3066</v>
      </c>
      <c r="I3" t="s">
        <v>3070</v>
      </c>
      <c r="J3" t="s">
        <v>3076</v>
      </c>
      <c r="K3">
        <v>3</v>
      </c>
      <c r="L3" t="s">
        <v>4275</v>
      </c>
      <c r="M3" t="s">
        <v>4279</v>
      </c>
      <c r="N3">
        <v>302.7</v>
      </c>
    </row>
    <row r="4" spans="1:14"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2">
        <v>45214</v>
      </c>
      <c r="C5" t="s">
        <v>1217</v>
      </c>
      <c r="D5" t="s">
        <v>2406</v>
      </c>
      <c r="E5">
        <v>1</v>
      </c>
      <c r="F5">
        <v>273.19</v>
      </c>
      <c r="G5" t="s">
        <v>2413</v>
      </c>
      <c r="H5" t="s">
        <v>3065</v>
      </c>
      <c r="I5" t="s">
        <v>3072</v>
      </c>
      <c r="J5" t="s">
        <v>3078</v>
      </c>
      <c r="K5">
        <v>5</v>
      </c>
      <c r="L5" t="s">
        <v>4275</v>
      </c>
      <c r="M5" t="s">
        <v>4281</v>
      </c>
      <c r="N5">
        <v>273.19</v>
      </c>
    </row>
    <row r="6" spans="1:14" x14ac:dyDescent="0.35">
      <c r="A6" t="s">
        <v>18</v>
      </c>
      <c r="B6" s="2">
        <v>45785</v>
      </c>
      <c r="C6" t="s">
        <v>1218</v>
      </c>
      <c r="D6" t="s">
        <v>2407</v>
      </c>
      <c r="E6">
        <v>4</v>
      </c>
      <c r="F6">
        <v>626.01</v>
      </c>
      <c r="G6" t="s">
        <v>2414</v>
      </c>
      <c r="H6" t="s">
        <v>3066</v>
      </c>
      <c r="I6" t="s">
        <v>3073</v>
      </c>
      <c r="J6" t="s">
        <v>3079</v>
      </c>
      <c r="K6">
        <v>8</v>
      </c>
      <c r="L6" t="s">
        <v>4275</v>
      </c>
      <c r="M6" t="s">
        <v>4280</v>
      </c>
      <c r="N6">
        <v>2504.04</v>
      </c>
    </row>
    <row r="7" spans="1:14" x14ac:dyDescent="0.35">
      <c r="A7" t="s">
        <v>19</v>
      </c>
      <c r="B7" s="2">
        <v>45222</v>
      </c>
      <c r="C7" t="s">
        <v>1219</v>
      </c>
      <c r="D7" t="s">
        <v>2404</v>
      </c>
      <c r="E7">
        <v>2</v>
      </c>
      <c r="F7">
        <v>245.86</v>
      </c>
      <c r="G7" t="s">
        <v>2415</v>
      </c>
      <c r="H7" t="s">
        <v>3067</v>
      </c>
      <c r="I7" t="s">
        <v>3070</v>
      </c>
      <c r="J7" t="s">
        <v>3080</v>
      </c>
      <c r="K7">
        <v>4</v>
      </c>
      <c r="L7" t="s">
        <v>4275</v>
      </c>
      <c r="M7" t="s">
        <v>4278</v>
      </c>
      <c r="N7">
        <v>491.72</v>
      </c>
    </row>
    <row r="8" spans="1:14" x14ac:dyDescent="0.35">
      <c r="A8" t="s">
        <v>20</v>
      </c>
      <c r="B8" s="2">
        <v>45825</v>
      </c>
      <c r="C8" t="s">
        <v>1220</v>
      </c>
      <c r="D8" t="s">
        <v>2408</v>
      </c>
      <c r="E8">
        <v>1</v>
      </c>
      <c r="F8">
        <v>664.42</v>
      </c>
      <c r="G8" t="s">
        <v>2416</v>
      </c>
      <c r="H8" t="s">
        <v>3068</v>
      </c>
      <c r="I8" t="s">
        <v>3072</v>
      </c>
      <c r="J8" t="s">
        <v>3081</v>
      </c>
      <c r="K8">
        <v>6</v>
      </c>
      <c r="L8" t="s">
        <v>4275</v>
      </c>
      <c r="M8" t="s">
        <v>4281</v>
      </c>
      <c r="N8">
        <v>664.42</v>
      </c>
    </row>
    <row r="9" spans="1:14" x14ac:dyDescent="0.3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2">
        <v>45749</v>
      </c>
      <c r="C10" t="s">
        <v>1222</v>
      </c>
      <c r="D10" t="s">
        <v>2404</v>
      </c>
      <c r="E10">
        <v>2</v>
      </c>
      <c r="F10">
        <v>134.28</v>
      </c>
      <c r="G10" t="s">
        <v>2418</v>
      </c>
      <c r="H10" t="s">
        <v>3068</v>
      </c>
      <c r="I10" t="s">
        <v>3071</v>
      </c>
      <c r="J10" t="s">
        <v>3083</v>
      </c>
      <c r="K10">
        <v>2</v>
      </c>
      <c r="M10" t="s">
        <v>4280</v>
      </c>
      <c r="N10">
        <v>268.56</v>
      </c>
    </row>
    <row r="11" spans="1:14"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M33" t="s">
        <v>4281</v>
      </c>
      <c r="N33">
        <v>1500.24</v>
      </c>
    </row>
    <row r="34" spans="1:14" x14ac:dyDescent="0.35">
      <c r="A34" t="s">
        <v>46</v>
      </c>
      <c r="B34" s="2">
        <v>45047</v>
      </c>
      <c r="C34" t="s">
        <v>1246</v>
      </c>
      <c r="D34" t="s">
        <v>2405</v>
      </c>
      <c r="E34">
        <v>5</v>
      </c>
      <c r="F34">
        <v>536.72</v>
      </c>
      <c r="G34" t="s">
        <v>2442</v>
      </c>
      <c r="H34" t="s">
        <v>3069</v>
      </c>
      <c r="I34" t="s">
        <v>3073</v>
      </c>
      <c r="J34" t="s">
        <v>3107</v>
      </c>
      <c r="K34">
        <v>10</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M44" t="s">
        <v>4278</v>
      </c>
      <c r="N44">
        <v>303.32</v>
      </c>
    </row>
    <row r="45" spans="1:14" x14ac:dyDescent="0.35">
      <c r="A45" t="s">
        <v>57</v>
      </c>
      <c r="B45" s="2">
        <v>45274</v>
      </c>
      <c r="C45" t="s">
        <v>1257</v>
      </c>
      <c r="D45" t="s">
        <v>2406</v>
      </c>
      <c r="E45">
        <v>3</v>
      </c>
      <c r="F45">
        <v>499.21</v>
      </c>
      <c r="G45" t="s">
        <v>2452</v>
      </c>
      <c r="H45" t="s">
        <v>3066</v>
      </c>
      <c r="I45" t="s">
        <v>3071</v>
      </c>
      <c r="J45" t="s">
        <v>3118</v>
      </c>
      <c r="K45">
        <v>8</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M75" t="s">
        <v>4281</v>
      </c>
      <c r="N75">
        <v>1733.8</v>
      </c>
    </row>
    <row r="76" spans="1:14" x14ac:dyDescent="0.35">
      <c r="A76" t="s">
        <v>88</v>
      </c>
      <c r="B76" s="2">
        <v>45101</v>
      </c>
      <c r="C76" t="s">
        <v>1288</v>
      </c>
      <c r="D76" t="s">
        <v>2404</v>
      </c>
      <c r="E76">
        <v>5</v>
      </c>
      <c r="F76">
        <v>90.87</v>
      </c>
      <c r="G76" t="s">
        <v>2478</v>
      </c>
      <c r="H76" t="s">
        <v>3069</v>
      </c>
      <c r="I76" t="s">
        <v>3074</v>
      </c>
      <c r="J76" t="s">
        <v>3149</v>
      </c>
      <c r="K76">
        <v>5</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M97" t="s">
        <v>4279</v>
      </c>
      <c r="N97">
        <v>470.04</v>
      </c>
    </row>
    <row r="98" spans="1:14" x14ac:dyDescent="0.35">
      <c r="A98" t="s">
        <v>110</v>
      </c>
      <c r="B98" s="2">
        <v>45444</v>
      </c>
      <c r="C98" t="s">
        <v>1310</v>
      </c>
      <c r="D98" t="s">
        <v>2404</v>
      </c>
      <c r="E98">
        <v>2</v>
      </c>
      <c r="F98">
        <v>232.83</v>
      </c>
      <c r="G98" t="s">
        <v>2483</v>
      </c>
      <c r="H98" t="s">
        <v>3068</v>
      </c>
      <c r="I98" t="s">
        <v>3073</v>
      </c>
      <c r="J98" t="s">
        <v>3171</v>
      </c>
      <c r="K98">
        <v>7</v>
      </c>
      <c r="M98" t="s">
        <v>4278</v>
      </c>
      <c r="N98">
        <v>465.66</v>
      </c>
    </row>
    <row r="99" spans="1:14" x14ac:dyDescent="0.35">
      <c r="A99" t="s">
        <v>111</v>
      </c>
      <c r="B99" s="2">
        <v>45678</v>
      </c>
      <c r="C99" t="s">
        <v>1311</v>
      </c>
      <c r="D99" t="s">
        <v>2405</v>
      </c>
      <c r="E99">
        <v>5</v>
      </c>
      <c r="F99">
        <v>619.52</v>
      </c>
      <c r="G99" t="s">
        <v>2500</v>
      </c>
      <c r="H99" t="s">
        <v>3065</v>
      </c>
      <c r="I99" t="s">
        <v>3074</v>
      </c>
      <c r="J99" t="s">
        <v>3172</v>
      </c>
      <c r="K99">
        <v>9</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01"/>
  <sheetViews>
    <sheetView zoomScale="85" zoomScaleNormal="85" workbookViewId="0">
      <selection activeCell="S5" sqref="A1:Y1201"/>
    </sheetView>
  </sheetViews>
  <sheetFormatPr defaultRowHeight="14.5" x14ac:dyDescent="0.35"/>
  <cols>
    <col min="1" max="1" width="12.08984375" bestFit="1" customWidth="1"/>
    <col min="2" max="2" width="10.81640625" bestFit="1" customWidth="1"/>
    <col min="3" max="3" width="15.36328125" bestFit="1" customWidth="1"/>
    <col min="4" max="4" width="12" bestFit="1" customWidth="1"/>
    <col min="5" max="5" width="12.7265625" bestFit="1" customWidth="1"/>
    <col min="6" max="6" width="13" bestFit="1" customWidth="1"/>
    <col min="7" max="7" width="19.26953125" bestFit="1" customWidth="1"/>
    <col min="8" max="8" width="19.6328125" bestFit="1" customWidth="1"/>
    <col min="9" max="9" width="15.54296875" bestFit="1" customWidth="1"/>
    <col min="10" max="10" width="19.26953125" bestFit="1" customWidth="1"/>
    <col min="11" max="11" width="15.26953125" bestFit="1" customWidth="1"/>
    <col min="12" max="12" width="16.1796875" bestFit="1" customWidth="1"/>
    <col min="13" max="13" width="17.7265625" bestFit="1" customWidth="1"/>
    <col min="14" max="14" width="13" customWidth="1"/>
    <col min="15" max="15" width="13.08984375" customWidth="1"/>
    <col min="16" max="16" width="12.08984375" bestFit="1" customWidth="1"/>
    <col min="17" max="17" width="12.1796875" customWidth="1"/>
    <col min="18" max="18" width="17.453125" customWidth="1"/>
    <col min="19" max="19" width="18.54296875" customWidth="1"/>
    <col min="20" max="20" width="19" bestFit="1" customWidth="1"/>
    <col min="22" max="22" width="10.26953125" bestFit="1" customWidth="1"/>
    <col min="23" max="23" width="11.08984375" bestFit="1" customWidth="1"/>
    <col min="24" max="24" width="12.453125" bestFit="1" customWidth="1"/>
    <col min="25" max="25" width="13.1796875" bestFit="1" customWidth="1"/>
  </cols>
  <sheetData>
    <row r="1" spans="1:25" x14ac:dyDescent="0.35">
      <c r="A1" s="11" t="s">
        <v>4298</v>
      </c>
      <c r="B1" s="11" t="s">
        <v>1</v>
      </c>
      <c r="C1" s="11" t="s">
        <v>4297</v>
      </c>
      <c r="D1" s="11" t="s">
        <v>3</v>
      </c>
      <c r="E1" s="3" t="s">
        <v>4</v>
      </c>
      <c r="F1" s="3" t="s">
        <v>4296</v>
      </c>
      <c r="G1" s="3" t="s">
        <v>4295</v>
      </c>
      <c r="H1" s="3" t="s">
        <v>4294</v>
      </c>
      <c r="I1" s="3" t="s">
        <v>4293</v>
      </c>
      <c r="J1" s="3" t="s">
        <v>4292</v>
      </c>
      <c r="K1" s="3" t="s">
        <v>4291</v>
      </c>
      <c r="L1" s="3" t="s">
        <v>4290</v>
      </c>
      <c r="M1" s="3" t="s">
        <v>4289</v>
      </c>
      <c r="N1" s="3" t="s">
        <v>4288</v>
      </c>
      <c r="O1" s="4" t="s">
        <v>4283</v>
      </c>
      <c r="P1" s="4" t="s">
        <v>4284</v>
      </c>
      <c r="Q1" s="4" t="s">
        <v>4285</v>
      </c>
      <c r="R1" s="4" t="s">
        <v>4286</v>
      </c>
      <c r="S1" s="4" t="s">
        <v>4287</v>
      </c>
      <c r="T1" s="4" t="s">
        <v>4299</v>
      </c>
      <c r="V1" s="5" t="s">
        <v>4328</v>
      </c>
      <c r="W1" t="s">
        <v>4</v>
      </c>
      <c r="X1" t="s">
        <v>4296</v>
      </c>
      <c r="Y1" t="s">
        <v>4288</v>
      </c>
    </row>
    <row r="2" spans="1:25" x14ac:dyDescent="0.35">
      <c r="A2" t="s">
        <v>14</v>
      </c>
      <c r="B2" s="2">
        <v>44930</v>
      </c>
      <c r="C2" t="s">
        <v>1214</v>
      </c>
      <c r="D2" t="s">
        <v>2403</v>
      </c>
      <c r="E2">
        <v>5</v>
      </c>
      <c r="F2">
        <v>570.62</v>
      </c>
      <c r="G2" t="s">
        <v>2410</v>
      </c>
      <c r="H2" t="s">
        <v>3065</v>
      </c>
      <c r="I2" t="s">
        <v>3070</v>
      </c>
      <c r="J2" t="s">
        <v>3075</v>
      </c>
      <c r="K2">
        <v>7</v>
      </c>
      <c r="L2" t="s">
        <v>4275</v>
      </c>
      <c r="M2" t="s">
        <v>4278</v>
      </c>
      <c r="N2">
        <v>2853.1</v>
      </c>
      <c r="O2">
        <f t="shared" ref="O2:O65" si="0">E2*F2</f>
        <v>2853.1</v>
      </c>
      <c r="P2" t="str">
        <f t="shared" ref="P2:P65" si="1">TEXT(B2, "mmm")</f>
        <v>Jan</v>
      </c>
      <c r="Q2" t="str">
        <f t="shared" ref="Q2:Q65" si="2">"Q"&amp;ROUNDUP(MONTH(B2)/3,0)</f>
        <v>Q1</v>
      </c>
      <c r="R2" s="5" t="str">
        <f>IF(N2&lt;100,"Small", IF(N2&lt;500, "Medium", "Large"))</f>
        <v>Large</v>
      </c>
      <c r="S2" s="5" t="str">
        <f t="shared" ref="S2:S65" si="3">IF(I2="Delivered","Completed","Pending")</f>
        <v>Pending</v>
      </c>
      <c r="T2" s="5" t="str">
        <f t="shared" ref="T2:T65" si="4">IF(L2="","No", "Yes")</f>
        <v>Yes</v>
      </c>
      <c r="V2" t="s">
        <v>4327</v>
      </c>
      <c r="W2">
        <f>COUNTA(E2:E1201)</f>
        <v>1200</v>
      </c>
      <c r="X2">
        <f>COUNTA(F2:F1201)</f>
        <v>1200</v>
      </c>
      <c r="Y2">
        <f>COUNTA(N2:N1201)</f>
        <v>1200</v>
      </c>
    </row>
    <row r="3" spans="1:25" x14ac:dyDescent="0.35">
      <c r="A3" t="s">
        <v>15</v>
      </c>
      <c r="B3" s="2">
        <v>45527</v>
      </c>
      <c r="C3" t="s">
        <v>1215</v>
      </c>
      <c r="D3" t="s">
        <v>2404</v>
      </c>
      <c r="E3">
        <v>2</v>
      </c>
      <c r="F3">
        <v>151.35</v>
      </c>
      <c r="G3" t="s">
        <v>2411</v>
      </c>
      <c r="H3" t="s">
        <v>3066</v>
      </c>
      <c r="I3" t="s">
        <v>3070</v>
      </c>
      <c r="J3" t="s">
        <v>3076</v>
      </c>
      <c r="K3">
        <v>3</v>
      </c>
      <c r="L3" t="s">
        <v>4275</v>
      </c>
      <c r="M3" t="s">
        <v>4279</v>
      </c>
      <c r="N3">
        <v>302.7</v>
      </c>
      <c r="O3">
        <f t="shared" si="0"/>
        <v>302.7</v>
      </c>
      <c r="P3" t="str">
        <f t="shared" si="1"/>
        <v>Aug</v>
      </c>
      <c r="Q3" t="str">
        <f t="shared" si="2"/>
        <v>Q3</v>
      </c>
      <c r="R3" s="5" t="str">
        <f t="shared" ref="R3:R65" si="5">IF(N3&lt;100,"Small", IF(N3&lt;500, "Medium", "Large"))</f>
        <v>Medium</v>
      </c>
      <c r="S3" s="5" t="str">
        <f t="shared" si="3"/>
        <v>Pending</v>
      </c>
      <c r="T3" s="5" t="str">
        <f t="shared" si="4"/>
        <v>Yes</v>
      </c>
      <c r="V3" t="s">
        <v>4326</v>
      </c>
      <c r="W3" s="10">
        <f>AVERAGE(E2:E1201)</f>
        <v>2.9458333333333333</v>
      </c>
      <c r="X3">
        <f>AVERAGE(F2:F1201)</f>
        <v>356.41275000000007</v>
      </c>
      <c r="Y3">
        <f>AVERAGE(N2:N1201)</f>
        <v>1053.9683000000005</v>
      </c>
    </row>
    <row r="4" spans="1:25" x14ac:dyDescent="0.35">
      <c r="A4" t="s">
        <v>16</v>
      </c>
      <c r="B4" s="2">
        <v>45349</v>
      </c>
      <c r="C4" t="s">
        <v>1216</v>
      </c>
      <c r="D4" t="s">
        <v>2405</v>
      </c>
      <c r="E4">
        <v>5</v>
      </c>
      <c r="F4">
        <v>550.67999999999995</v>
      </c>
      <c r="G4" t="s">
        <v>2412</v>
      </c>
      <c r="H4" t="s">
        <v>3067</v>
      </c>
      <c r="I4" t="s">
        <v>3071</v>
      </c>
      <c r="J4" t="s">
        <v>3077</v>
      </c>
      <c r="K4">
        <v>8</v>
      </c>
      <c r="L4" t="s">
        <v>4276</v>
      </c>
      <c r="M4" t="s">
        <v>4280</v>
      </c>
      <c r="N4">
        <v>2753.4</v>
      </c>
      <c r="O4">
        <f t="shared" si="0"/>
        <v>2753.3999999999996</v>
      </c>
      <c r="P4" t="str">
        <f t="shared" si="1"/>
        <v>Feb</v>
      </c>
      <c r="Q4" t="str">
        <f t="shared" si="2"/>
        <v>Q1</v>
      </c>
      <c r="R4" s="5" t="str">
        <f t="shared" si="5"/>
        <v>Large</v>
      </c>
      <c r="S4" s="5" t="str">
        <f t="shared" si="3"/>
        <v>Pending</v>
      </c>
      <c r="T4" s="5" t="str">
        <f t="shared" si="4"/>
        <v>Yes</v>
      </c>
      <c r="V4" t="s">
        <v>4325</v>
      </c>
      <c r="W4">
        <f>MEDIAN(E2:E1201)</f>
        <v>3</v>
      </c>
      <c r="X4">
        <f>MEDIAN(F2:F1201)</f>
        <v>364.21</v>
      </c>
      <c r="Y4">
        <f>MEDIAN(N2:N1201)</f>
        <v>823.61500000000001</v>
      </c>
    </row>
    <row r="5" spans="1:25" x14ac:dyDescent="0.35">
      <c r="A5" t="s">
        <v>17</v>
      </c>
      <c r="B5" s="2">
        <v>45214</v>
      </c>
      <c r="C5" t="s">
        <v>1217</v>
      </c>
      <c r="D5" t="s">
        <v>2406</v>
      </c>
      <c r="E5">
        <v>1</v>
      </c>
      <c r="F5">
        <v>273.19</v>
      </c>
      <c r="G5" t="s">
        <v>2413</v>
      </c>
      <c r="H5" t="s">
        <v>3065</v>
      </c>
      <c r="I5" t="s">
        <v>3072</v>
      </c>
      <c r="J5" t="s">
        <v>3078</v>
      </c>
      <c r="K5">
        <v>5</v>
      </c>
      <c r="L5" t="s">
        <v>4275</v>
      </c>
      <c r="M5" t="s">
        <v>4281</v>
      </c>
      <c r="N5">
        <v>273.19</v>
      </c>
      <c r="O5">
        <f t="shared" si="0"/>
        <v>273.19</v>
      </c>
      <c r="P5" t="str">
        <f t="shared" si="1"/>
        <v>Oct</v>
      </c>
      <c r="Q5" t="str">
        <f t="shared" si="2"/>
        <v>Q4</v>
      </c>
      <c r="R5" s="5" t="str">
        <f t="shared" si="5"/>
        <v>Medium</v>
      </c>
      <c r="S5" s="5" t="str">
        <f t="shared" si="3"/>
        <v>Pending</v>
      </c>
      <c r="T5" s="5" t="str">
        <f t="shared" si="4"/>
        <v>Yes</v>
      </c>
      <c r="V5" t="s">
        <v>4324</v>
      </c>
      <c r="W5">
        <f>MIN(E2:E1201)</f>
        <v>1</v>
      </c>
      <c r="X5">
        <f>MIN(F2:F1201)</f>
        <v>11.39</v>
      </c>
      <c r="Y5">
        <f>MIN(N2:N1201)</f>
        <v>11.39</v>
      </c>
    </row>
    <row r="6" spans="1:25" x14ac:dyDescent="0.35">
      <c r="A6" t="s">
        <v>18</v>
      </c>
      <c r="B6" s="2">
        <v>45785</v>
      </c>
      <c r="C6" t="s">
        <v>1218</v>
      </c>
      <c r="D6" t="s">
        <v>2407</v>
      </c>
      <c r="E6">
        <v>4</v>
      </c>
      <c r="F6">
        <v>626.01</v>
      </c>
      <c r="G6" t="s">
        <v>2414</v>
      </c>
      <c r="H6" t="s">
        <v>3066</v>
      </c>
      <c r="I6" t="s">
        <v>3073</v>
      </c>
      <c r="J6" t="s">
        <v>3079</v>
      </c>
      <c r="K6">
        <v>8</v>
      </c>
      <c r="L6" t="s">
        <v>4275</v>
      </c>
      <c r="M6" t="s">
        <v>4280</v>
      </c>
      <c r="N6">
        <v>2504.04</v>
      </c>
      <c r="O6">
        <f t="shared" si="0"/>
        <v>2504.04</v>
      </c>
      <c r="P6" t="str">
        <f t="shared" si="1"/>
        <v>May</v>
      </c>
      <c r="Q6" t="str">
        <f t="shared" si="2"/>
        <v>Q2</v>
      </c>
      <c r="R6" s="5" t="str">
        <f t="shared" si="5"/>
        <v>Large</v>
      </c>
      <c r="S6" s="5" t="str">
        <f t="shared" si="3"/>
        <v>Completed</v>
      </c>
      <c r="T6" s="5" t="str">
        <f t="shared" si="4"/>
        <v>Yes</v>
      </c>
      <c r="V6" t="s">
        <v>4323</v>
      </c>
      <c r="W6">
        <f>MAX(E2:E1201)</f>
        <v>5</v>
      </c>
      <c r="X6">
        <f>MAX(F2:F1201)</f>
        <v>699.93</v>
      </c>
      <c r="Y6">
        <f>MAX(N2:N1201)</f>
        <v>3456.4</v>
      </c>
    </row>
    <row r="7" spans="1:25" x14ac:dyDescent="0.35">
      <c r="A7" t="s">
        <v>19</v>
      </c>
      <c r="B7" s="2">
        <v>45222</v>
      </c>
      <c r="C7" t="s">
        <v>1219</v>
      </c>
      <c r="D7" t="s">
        <v>2404</v>
      </c>
      <c r="E7">
        <v>2</v>
      </c>
      <c r="F7">
        <v>245.86</v>
      </c>
      <c r="G7" t="s">
        <v>2415</v>
      </c>
      <c r="H7" t="s">
        <v>3067</v>
      </c>
      <c r="I7" t="s">
        <v>3070</v>
      </c>
      <c r="J7" t="s">
        <v>3080</v>
      </c>
      <c r="K7">
        <v>4</v>
      </c>
      <c r="L7" t="s">
        <v>4275</v>
      </c>
      <c r="M7" t="s">
        <v>4278</v>
      </c>
      <c r="N7">
        <v>491.72</v>
      </c>
      <c r="O7">
        <f t="shared" si="0"/>
        <v>491.72</v>
      </c>
      <c r="P7" t="str">
        <f t="shared" si="1"/>
        <v>Oct</v>
      </c>
      <c r="Q7" t="str">
        <f t="shared" si="2"/>
        <v>Q4</v>
      </c>
      <c r="R7" s="5" t="str">
        <f t="shared" si="5"/>
        <v>Medium</v>
      </c>
      <c r="S7" s="5" t="str">
        <f t="shared" si="3"/>
        <v>Pending</v>
      </c>
      <c r="T7" s="5" t="str">
        <f t="shared" si="4"/>
        <v>Yes</v>
      </c>
    </row>
    <row r="8" spans="1:25" x14ac:dyDescent="0.35">
      <c r="A8" t="s">
        <v>20</v>
      </c>
      <c r="B8" s="2">
        <v>45825</v>
      </c>
      <c r="C8" t="s">
        <v>1220</v>
      </c>
      <c r="D8" t="s">
        <v>2408</v>
      </c>
      <c r="E8">
        <v>1</v>
      </c>
      <c r="F8">
        <v>664.42</v>
      </c>
      <c r="G8" t="s">
        <v>2416</v>
      </c>
      <c r="H8" t="s">
        <v>3068</v>
      </c>
      <c r="I8" t="s">
        <v>3072</v>
      </c>
      <c r="J8" t="s">
        <v>3081</v>
      </c>
      <c r="K8">
        <v>6</v>
      </c>
      <c r="L8" t="s">
        <v>4275</v>
      </c>
      <c r="M8" t="s">
        <v>4281</v>
      </c>
      <c r="N8">
        <v>664.42</v>
      </c>
      <c r="O8">
        <f t="shared" si="0"/>
        <v>664.42</v>
      </c>
      <c r="P8" t="str">
        <f t="shared" si="1"/>
        <v>Jun</v>
      </c>
      <c r="Q8" t="str">
        <f t="shared" si="2"/>
        <v>Q2</v>
      </c>
      <c r="R8" s="5" t="str">
        <f t="shared" si="5"/>
        <v>Large</v>
      </c>
      <c r="S8" s="5" t="str">
        <f t="shared" si="3"/>
        <v>Pending</v>
      </c>
      <c r="T8" s="5" t="str">
        <f t="shared" si="4"/>
        <v>Yes</v>
      </c>
    </row>
    <row r="9" spans="1:25" x14ac:dyDescent="0.35">
      <c r="A9" t="s">
        <v>21</v>
      </c>
      <c r="B9" s="2">
        <v>45058</v>
      </c>
      <c r="C9" t="s">
        <v>1221</v>
      </c>
      <c r="D9" t="s">
        <v>2403</v>
      </c>
      <c r="E9">
        <v>5</v>
      </c>
      <c r="F9">
        <v>149.55000000000001</v>
      </c>
      <c r="G9" t="s">
        <v>2417</v>
      </c>
      <c r="H9" t="s">
        <v>3069</v>
      </c>
      <c r="I9" t="s">
        <v>3070</v>
      </c>
      <c r="J9" t="s">
        <v>3082</v>
      </c>
      <c r="K9">
        <v>9</v>
      </c>
      <c r="L9" t="s">
        <v>4276</v>
      </c>
      <c r="M9" t="s">
        <v>4281</v>
      </c>
      <c r="N9">
        <v>747.75</v>
      </c>
      <c r="O9">
        <f t="shared" si="0"/>
        <v>747.75</v>
      </c>
      <c r="P9" t="str">
        <f t="shared" si="1"/>
        <v>May</v>
      </c>
      <c r="Q9" t="str">
        <f t="shared" si="2"/>
        <v>Q2</v>
      </c>
      <c r="R9" s="5" t="str">
        <f t="shared" si="5"/>
        <v>Large</v>
      </c>
      <c r="S9" s="5" t="str">
        <f t="shared" si="3"/>
        <v>Pending</v>
      </c>
      <c r="T9" s="5" t="str">
        <f t="shared" si="4"/>
        <v>Yes</v>
      </c>
    </row>
    <row r="10" spans="1:25" x14ac:dyDescent="0.35">
      <c r="A10" t="s">
        <v>22</v>
      </c>
      <c r="B10" s="2">
        <v>45749</v>
      </c>
      <c r="C10" t="s">
        <v>1222</v>
      </c>
      <c r="D10" t="s">
        <v>2404</v>
      </c>
      <c r="E10">
        <v>2</v>
      </c>
      <c r="F10">
        <v>134.28</v>
      </c>
      <c r="G10" t="s">
        <v>2418</v>
      </c>
      <c r="H10" t="s">
        <v>3068</v>
      </c>
      <c r="I10" t="s">
        <v>3071</v>
      </c>
      <c r="J10" t="s">
        <v>3083</v>
      </c>
      <c r="K10">
        <v>2</v>
      </c>
      <c r="L10" t="s">
        <v>4329</v>
      </c>
      <c r="M10" t="s">
        <v>4280</v>
      </c>
      <c r="N10">
        <v>268.56</v>
      </c>
      <c r="O10">
        <f t="shared" si="0"/>
        <v>268.56</v>
      </c>
      <c r="P10" t="str">
        <f t="shared" si="1"/>
        <v>Apr</v>
      </c>
      <c r="Q10" t="str">
        <f t="shared" si="2"/>
        <v>Q2</v>
      </c>
      <c r="R10" s="5" t="str">
        <f t="shared" si="5"/>
        <v>Medium</v>
      </c>
      <c r="S10" s="5" t="str">
        <f t="shared" si="3"/>
        <v>Pending</v>
      </c>
      <c r="T10" s="5" t="str">
        <f t="shared" si="4"/>
        <v>Yes</v>
      </c>
    </row>
    <row r="11" spans="1:25" x14ac:dyDescent="0.35">
      <c r="A11" t="s">
        <v>23</v>
      </c>
      <c r="B11" s="2">
        <v>45251</v>
      </c>
      <c r="C11" t="s">
        <v>1223</v>
      </c>
      <c r="D11" t="s">
        <v>2409</v>
      </c>
      <c r="E11">
        <v>4</v>
      </c>
      <c r="F11">
        <v>509.38</v>
      </c>
      <c r="G11" t="s">
        <v>2419</v>
      </c>
      <c r="H11" t="s">
        <v>3067</v>
      </c>
      <c r="I11" t="s">
        <v>3070</v>
      </c>
      <c r="J11" t="s">
        <v>3084</v>
      </c>
      <c r="K11">
        <v>6</v>
      </c>
      <c r="L11" t="s">
        <v>4275</v>
      </c>
      <c r="M11" t="s">
        <v>4282</v>
      </c>
      <c r="N11">
        <v>2037.52</v>
      </c>
      <c r="O11">
        <f t="shared" si="0"/>
        <v>2037.52</v>
      </c>
      <c r="P11" t="str">
        <f t="shared" si="1"/>
        <v>Nov</v>
      </c>
      <c r="Q11" t="str">
        <f t="shared" si="2"/>
        <v>Q4</v>
      </c>
      <c r="R11" s="5" t="str">
        <f t="shared" si="5"/>
        <v>Large</v>
      </c>
      <c r="S11" s="5" t="str">
        <f t="shared" si="3"/>
        <v>Pending</v>
      </c>
      <c r="T11" s="5" t="str">
        <f t="shared" si="4"/>
        <v>Yes</v>
      </c>
    </row>
    <row r="12" spans="1:25" x14ac:dyDescent="0.35">
      <c r="A12" t="s">
        <v>24</v>
      </c>
      <c r="B12" s="2">
        <v>45289</v>
      </c>
      <c r="C12" t="s">
        <v>1224</v>
      </c>
      <c r="D12" t="s">
        <v>2405</v>
      </c>
      <c r="E12">
        <v>5</v>
      </c>
      <c r="F12">
        <v>625.97</v>
      </c>
      <c r="G12" t="s">
        <v>2420</v>
      </c>
      <c r="H12" t="s">
        <v>3067</v>
      </c>
      <c r="I12" t="s">
        <v>3072</v>
      </c>
      <c r="J12" t="s">
        <v>3085</v>
      </c>
      <c r="K12">
        <v>9</v>
      </c>
      <c r="L12" t="s">
        <v>4277</v>
      </c>
      <c r="M12" t="s">
        <v>4278</v>
      </c>
      <c r="N12">
        <v>3129.85</v>
      </c>
      <c r="O12">
        <f t="shared" si="0"/>
        <v>3129.8500000000004</v>
      </c>
      <c r="P12" t="str">
        <f t="shared" si="1"/>
        <v>Dec</v>
      </c>
      <c r="Q12" t="str">
        <f t="shared" si="2"/>
        <v>Q4</v>
      </c>
      <c r="R12" s="5" t="str">
        <f t="shared" si="5"/>
        <v>Large</v>
      </c>
      <c r="S12" s="5" t="str">
        <f t="shared" si="3"/>
        <v>Pending</v>
      </c>
      <c r="T12" s="5" t="str">
        <f t="shared" si="4"/>
        <v>Yes</v>
      </c>
    </row>
    <row r="13" spans="1:25" x14ac:dyDescent="0.35">
      <c r="A13" t="s">
        <v>25</v>
      </c>
      <c r="B13" s="2">
        <v>45339</v>
      </c>
      <c r="C13" t="s">
        <v>1225</v>
      </c>
      <c r="D13" t="s">
        <v>2403</v>
      </c>
      <c r="E13">
        <v>3</v>
      </c>
      <c r="F13">
        <v>49.14</v>
      </c>
      <c r="G13" t="s">
        <v>2421</v>
      </c>
      <c r="H13" t="s">
        <v>3066</v>
      </c>
      <c r="I13" t="s">
        <v>3072</v>
      </c>
      <c r="J13" t="s">
        <v>3086</v>
      </c>
      <c r="K13">
        <v>7</v>
      </c>
      <c r="L13" t="s">
        <v>4275</v>
      </c>
      <c r="M13" t="s">
        <v>4280</v>
      </c>
      <c r="N13">
        <v>147.41999999999999</v>
      </c>
      <c r="O13">
        <f t="shared" si="0"/>
        <v>147.42000000000002</v>
      </c>
      <c r="P13" t="str">
        <f t="shared" si="1"/>
        <v>Feb</v>
      </c>
      <c r="Q13" t="str">
        <f t="shared" si="2"/>
        <v>Q1</v>
      </c>
      <c r="R13" s="5" t="str">
        <f t="shared" si="5"/>
        <v>Medium</v>
      </c>
      <c r="S13" s="5" t="str">
        <f t="shared" si="3"/>
        <v>Pending</v>
      </c>
      <c r="T13" s="5" t="str">
        <f t="shared" si="4"/>
        <v>Yes</v>
      </c>
    </row>
    <row r="14" spans="1:25" x14ac:dyDescent="0.35">
      <c r="A14" t="s">
        <v>26</v>
      </c>
      <c r="B14" s="2">
        <v>45580</v>
      </c>
      <c r="C14" t="s">
        <v>1226</v>
      </c>
      <c r="D14" t="s">
        <v>2403</v>
      </c>
      <c r="E14">
        <v>2</v>
      </c>
      <c r="F14">
        <v>180.5</v>
      </c>
      <c r="G14" t="s">
        <v>2422</v>
      </c>
      <c r="H14" t="s">
        <v>3065</v>
      </c>
      <c r="I14" t="s">
        <v>3074</v>
      </c>
      <c r="J14" t="s">
        <v>3087</v>
      </c>
      <c r="K14">
        <v>6</v>
      </c>
      <c r="L14" t="s">
        <v>4276</v>
      </c>
      <c r="M14" t="s">
        <v>4279</v>
      </c>
      <c r="N14">
        <v>361</v>
      </c>
      <c r="O14">
        <f t="shared" si="0"/>
        <v>361</v>
      </c>
      <c r="P14" t="str">
        <f t="shared" si="1"/>
        <v>Oct</v>
      </c>
      <c r="Q14" t="str">
        <f t="shared" si="2"/>
        <v>Q4</v>
      </c>
      <c r="R14" s="5" t="str">
        <f t="shared" si="5"/>
        <v>Medium</v>
      </c>
      <c r="S14" s="5" t="str">
        <f t="shared" si="3"/>
        <v>Pending</v>
      </c>
      <c r="T14" s="5" t="str">
        <f t="shared" si="4"/>
        <v>Yes</v>
      </c>
    </row>
    <row r="15" spans="1:25" x14ac:dyDescent="0.35">
      <c r="A15" t="s">
        <v>27</v>
      </c>
      <c r="B15" s="2">
        <v>45168</v>
      </c>
      <c r="C15" t="s">
        <v>1227</v>
      </c>
      <c r="D15" t="s">
        <v>2408</v>
      </c>
      <c r="E15">
        <v>3</v>
      </c>
      <c r="F15">
        <v>201.49</v>
      </c>
      <c r="G15" t="s">
        <v>2423</v>
      </c>
      <c r="H15" t="s">
        <v>3067</v>
      </c>
      <c r="I15" t="s">
        <v>3072</v>
      </c>
      <c r="J15" t="s">
        <v>3088</v>
      </c>
      <c r="K15">
        <v>4</v>
      </c>
      <c r="L15" t="s">
        <v>4276</v>
      </c>
      <c r="M15" t="s">
        <v>4281</v>
      </c>
      <c r="N15">
        <v>604.47</v>
      </c>
      <c r="O15">
        <f t="shared" si="0"/>
        <v>604.47</v>
      </c>
      <c r="P15" t="str">
        <f t="shared" si="1"/>
        <v>Aug</v>
      </c>
      <c r="Q15" t="str">
        <f t="shared" si="2"/>
        <v>Q3</v>
      </c>
      <c r="R15" s="5" t="str">
        <f t="shared" si="5"/>
        <v>Large</v>
      </c>
      <c r="S15" s="5" t="str">
        <f t="shared" si="3"/>
        <v>Pending</v>
      </c>
      <c r="T15" s="5" t="str">
        <f t="shared" si="4"/>
        <v>Yes</v>
      </c>
    </row>
    <row r="16" spans="1:25" x14ac:dyDescent="0.35">
      <c r="A16" t="s">
        <v>28</v>
      </c>
      <c r="B16" s="2">
        <v>45012</v>
      </c>
      <c r="C16" t="s">
        <v>1228</v>
      </c>
      <c r="D16" t="s">
        <v>2405</v>
      </c>
      <c r="E16">
        <v>2</v>
      </c>
      <c r="F16">
        <v>393.33</v>
      </c>
      <c r="G16" t="s">
        <v>2424</v>
      </c>
      <c r="H16" t="s">
        <v>3065</v>
      </c>
      <c r="I16" t="s">
        <v>3074</v>
      </c>
      <c r="J16" t="s">
        <v>3089</v>
      </c>
      <c r="K16">
        <v>3</v>
      </c>
      <c r="L16" t="s">
        <v>4275</v>
      </c>
      <c r="M16" t="s">
        <v>4278</v>
      </c>
      <c r="N16">
        <v>786.66</v>
      </c>
      <c r="O16">
        <f t="shared" si="0"/>
        <v>786.66</v>
      </c>
      <c r="P16" t="str">
        <f t="shared" si="1"/>
        <v>Mar</v>
      </c>
      <c r="Q16" t="str">
        <f t="shared" si="2"/>
        <v>Q1</v>
      </c>
      <c r="R16" s="5" t="str">
        <f t="shared" si="5"/>
        <v>Large</v>
      </c>
      <c r="S16" s="5" t="str">
        <f t="shared" si="3"/>
        <v>Pending</v>
      </c>
      <c r="T16" s="5" t="str">
        <f t="shared" si="4"/>
        <v>Yes</v>
      </c>
    </row>
    <row r="17" spans="1:20" x14ac:dyDescent="0.35">
      <c r="A17" t="s">
        <v>29</v>
      </c>
      <c r="B17" s="2">
        <v>45124</v>
      </c>
      <c r="C17" t="s">
        <v>1229</v>
      </c>
      <c r="D17" t="s">
        <v>2407</v>
      </c>
      <c r="E17">
        <v>1</v>
      </c>
      <c r="F17">
        <v>473.96</v>
      </c>
      <c r="G17" t="s">
        <v>2425</v>
      </c>
      <c r="H17" t="s">
        <v>3069</v>
      </c>
      <c r="I17" t="s">
        <v>3073</v>
      </c>
      <c r="J17" t="s">
        <v>3090</v>
      </c>
      <c r="K17">
        <v>3</v>
      </c>
      <c r="L17" t="s">
        <v>4329</v>
      </c>
      <c r="M17" t="s">
        <v>4282</v>
      </c>
      <c r="N17">
        <v>473.96</v>
      </c>
      <c r="O17">
        <f t="shared" si="0"/>
        <v>473.96</v>
      </c>
      <c r="P17" t="str">
        <f t="shared" si="1"/>
        <v>Jul</v>
      </c>
      <c r="Q17" t="str">
        <f t="shared" si="2"/>
        <v>Q3</v>
      </c>
      <c r="R17" s="5" t="str">
        <f t="shared" si="5"/>
        <v>Medium</v>
      </c>
      <c r="S17" s="5" t="str">
        <f t="shared" si="3"/>
        <v>Completed</v>
      </c>
      <c r="T17" s="5" t="str">
        <f t="shared" si="4"/>
        <v>Yes</v>
      </c>
    </row>
    <row r="18" spans="1:20"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c r="O18">
        <f t="shared" si="0"/>
        <v>1067.6199999999999</v>
      </c>
      <c r="P18" t="str">
        <f t="shared" si="1"/>
        <v>Jan</v>
      </c>
      <c r="Q18" t="str">
        <f t="shared" si="2"/>
        <v>Q1</v>
      </c>
      <c r="R18" s="5" t="str">
        <f t="shared" si="5"/>
        <v>Large</v>
      </c>
      <c r="S18" s="5" t="str">
        <f t="shared" si="3"/>
        <v>Pending</v>
      </c>
      <c r="T18" s="5" t="str">
        <f t="shared" si="4"/>
        <v>Yes</v>
      </c>
    </row>
    <row r="19" spans="1:20" x14ac:dyDescent="0.35">
      <c r="A19" t="s">
        <v>31</v>
      </c>
      <c r="B19" s="2">
        <v>45353</v>
      </c>
      <c r="C19" t="s">
        <v>1231</v>
      </c>
      <c r="D19" t="s">
        <v>2405</v>
      </c>
      <c r="E19">
        <v>1</v>
      </c>
      <c r="F19">
        <v>423.4</v>
      </c>
      <c r="G19" t="s">
        <v>2427</v>
      </c>
      <c r="H19" t="s">
        <v>3065</v>
      </c>
      <c r="I19" t="s">
        <v>3070</v>
      </c>
      <c r="J19" t="s">
        <v>3092</v>
      </c>
      <c r="K19">
        <v>3</v>
      </c>
      <c r="L19" t="s">
        <v>4329</v>
      </c>
      <c r="M19" t="s">
        <v>4279</v>
      </c>
      <c r="N19">
        <v>423.4</v>
      </c>
      <c r="O19">
        <f t="shared" si="0"/>
        <v>423.4</v>
      </c>
      <c r="P19" t="str">
        <f t="shared" si="1"/>
        <v>Mar</v>
      </c>
      <c r="Q19" t="str">
        <f t="shared" si="2"/>
        <v>Q1</v>
      </c>
      <c r="R19" s="5" t="str">
        <f t="shared" si="5"/>
        <v>Medium</v>
      </c>
      <c r="S19" s="5" t="str">
        <f t="shared" si="3"/>
        <v>Pending</v>
      </c>
      <c r="T19" s="5" t="str">
        <f t="shared" si="4"/>
        <v>Yes</v>
      </c>
    </row>
    <row r="20" spans="1:20" x14ac:dyDescent="0.35">
      <c r="A20" t="s">
        <v>32</v>
      </c>
      <c r="B20" s="2">
        <v>45742</v>
      </c>
      <c r="C20" t="s">
        <v>1232</v>
      </c>
      <c r="D20" t="s">
        <v>2409</v>
      </c>
      <c r="E20">
        <v>1</v>
      </c>
      <c r="F20">
        <v>431.44</v>
      </c>
      <c r="G20" t="s">
        <v>2428</v>
      </c>
      <c r="H20" t="s">
        <v>3068</v>
      </c>
      <c r="I20" t="s">
        <v>3074</v>
      </c>
      <c r="J20" t="s">
        <v>3093</v>
      </c>
      <c r="K20">
        <v>3</v>
      </c>
      <c r="L20" t="s">
        <v>4275</v>
      </c>
      <c r="M20" t="s">
        <v>4281</v>
      </c>
      <c r="N20">
        <v>431.44</v>
      </c>
      <c r="O20">
        <f t="shared" si="0"/>
        <v>431.44</v>
      </c>
      <c r="P20" t="str">
        <f t="shared" si="1"/>
        <v>Mar</v>
      </c>
      <c r="Q20" t="str">
        <f t="shared" si="2"/>
        <v>Q1</v>
      </c>
      <c r="R20" s="5" t="str">
        <f t="shared" si="5"/>
        <v>Medium</v>
      </c>
      <c r="S20" s="5" t="str">
        <f t="shared" si="3"/>
        <v>Pending</v>
      </c>
      <c r="T20" s="5" t="str">
        <f t="shared" si="4"/>
        <v>Yes</v>
      </c>
    </row>
    <row r="21" spans="1:20" x14ac:dyDescent="0.35">
      <c r="A21" t="s">
        <v>33</v>
      </c>
      <c r="B21" s="2">
        <v>44949</v>
      </c>
      <c r="C21" t="s">
        <v>1233</v>
      </c>
      <c r="D21" t="s">
        <v>2403</v>
      </c>
      <c r="E21">
        <v>5</v>
      </c>
      <c r="F21">
        <v>224</v>
      </c>
      <c r="G21" t="s">
        <v>2429</v>
      </c>
      <c r="H21" t="s">
        <v>3069</v>
      </c>
      <c r="I21" t="s">
        <v>3072</v>
      </c>
      <c r="J21" t="s">
        <v>3094</v>
      </c>
      <c r="K21">
        <v>9</v>
      </c>
      <c r="L21" t="s">
        <v>4275</v>
      </c>
      <c r="M21" t="s">
        <v>4282</v>
      </c>
      <c r="N21">
        <v>1120</v>
      </c>
      <c r="O21">
        <f t="shared" si="0"/>
        <v>1120</v>
      </c>
      <c r="P21" t="str">
        <f t="shared" si="1"/>
        <v>Jan</v>
      </c>
      <c r="Q21" t="str">
        <f t="shared" si="2"/>
        <v>Q1</v>
      </c>
      <c r="R21" s="5" t="str">
        <f t="shared" si="5"/>
        <v>Large</v>
      </c>
      <c r="S21" s="5" t="str">
        <f t="shared" si="3"/>
        <v>Pending</v>
      </c>
      <c r="T21" s="5" t="str">
        <f t="shared" si="4"/>
        <v>Yes</v>
      </c>
    </row>
    <row r="22" spans="1:20" x14ac:dyDescent="0.35">
      <c r="A22" t="s">
        <v>34</v>
      </c>
      <c r="B22" s="2">
        <v>45054</v>
      </c>
      <c r="C22" t="s">
        <v>1234</v>
      </c>
      <c r="D22" t="s">
        <v>2406</v>
      </c>
      <c r="E22">
        <v>5</v>
      </c>
      <c r="F22">
        <v>62.51</v>
      </c>
      <c r="G22" t="s">
        <v>2430</v>
      </c>
      <c r="H22" t="s">
        <v>3069</v>
      </c>
      <c r="I22" t="s">
        <v>3074</v>
      </c>
      <c r="J22" t="s">
        <v>3095</v>
      </c>
      <c r="K22">
        <v>9</v>
      </c>
      <c r="L22" t="s">
        <v>4277</v>
      </c>
      <c r="M22" t="s">
        <v>4278</v>
      </c>
      <c r="N22">
        <v>312.55</v>
      </c>
      <c r="O22">
        <f t="shared" si="0"/>
        <v>312.55</v>
      </c>
      <c r="P22" t="str">
        <f t="shared" si="1"/>
        <v>May</v>
      </c>
      <c r="Q22" t="str">
        <f t="shared" si="2"/>
        <v>Q2</v>
      </c>
      <c r="R22" s="5" t="str">
        <f t="shared" si="5"/>
        <v>Medium</v>
      </c>
      <c r="S22" s="5" t="str">
        <f t="shared" si="3"/>
        <v>Pending</v>
      </c>
      <c r="T22" s="5" t="str">
        <f t="shared" si="4"/>
        <v>Yes</v>
      </c>
    </row>
    <row r="23" spans="1:20" x14ac:dyDescent="0.35">
      <c r="A23" t="s">
        <v>35</v>
      </c>
      <c r="B23" s="2">
        <v>45613</v>
      </c>
      <c r="C23" t="s">
        <v>1235</v>
      </c>
      <c r="D23" t="s">
        <v>2403</v>
      </c>
      <c r="E23">
        <v>4</v>
      </c>
      <c r="F23">
        <v>342.95</v>
      </c>
      <c r="G23" t="s">
        <v>2431</v>
      </c>
      <c r="H23" t="s">
        <v>3069</v>
      </c>
      <c r="I23" t="s">
        <v>3073</v>
      </c>
      <c r="J23" t="s">
        <v>3096</v>
      </c>
      <c r="K23">
        <v>6</v>
      </c>
      <c r="L23" t="s">
        <v>4329</v>
      </c>
      <c r="M23" t="s">
        <v>4282</v>
      </c>
      <c r="N23">
        <v>1371.8</v>
      </c>
      <c r="O23">
        <f t="shared" si="0"/>
        <v>1371.8</v>
      </c>
      <c r="P23" t="str">
        <f t="shared" si="1"/>
        <v>Nov</v>
      </c>
      <c r="Q23" t="str">
        <f t="shared" si="2"/>
        <v>Q4</v>
      </c>
      <c r="R23" s="5" t="str">
        <f t="shared" si="5"/>
        <v>Large</v>
      </c>
      <c r="S23" s="5" t="str">
        <f t="shared" si="3"/>
        <v>Completed</v>
      </c>
      <c r="T23" s="5" t="str">
        <f t="shared" si="4"/>
        <v>Yes</v>
      </c>
    </row>
    <row r="24" spans="1:20" x14ac:dyDescent="0.35">
      <c r="A24" t="s">
        <v>36</v>
      </c>
      <c r="B24" s="2">
        <v>44955</v>
      </c>
      <c r="C24" t="s">
        <v>1236</v>
      </c>
      <c r="D24" t="s">
        <v>2403</v>
      </c>
      <c r="E24">
        <v>2</v>
      </c>
      <c r="F24">
        <v>49.62</v>
      </c>
      <c r="G24" t="s">
        <v>2432</v>
      </c>
      <c r="H24" t="s">
        <v>3066</v>
      </c>
      <c r="I24" t="s">
        <v>3074</v>
      </c>
      <c r="J24" t="s">
        <v>3097</v>
      </c>
      <c r="K24">
        <v>2</v>
      </c>
      <c r="L24" t="s">
        <v>4275</v>
      </c>
      <c r="M24" t="s">
        <v>4282</v>
      </c>
      <c r="N24">
        <v>99.24</v>
      </c>
      <c r="O24">
        <f t="shared" si="0"/>
        <v>99.24</v>
      </c>
      <c r="P24" t="str">
        <f t="shared" si="1"/>
        <v>Jan</v>
      </c>
      <c r="Q24" t="str">
        <f t="shared" si="2"/>
        <v>Q1</v>
      </c>
      <c r="R24" s="5" t="str">
        <f t="shared" si="5"/>
        <v>Small</v>
      </c>
      <c r="S24" s="5" t="str">
        <f t="shared" si="3"/>
        <v>Pending</v>
      </c>
      <c r="T24" s="5" t="str">
        <f t="shared" si="4"/>
        <v>Yes</v>
      </c>
    </row>
    <row r="25" spans="1:20" x14ac:dyDescent="0.35">
      <c r="A25" t="s">
        <v>37</v>
      </c>
      <c r="B25" s="2">
        <v>45756</v>
      </c>
      <c r="C25" t="s">
        <v>1237</v>
      </c>
      <c r="D25" t="s">
        <v>2404</v>
      </c>
      <c r="E25">
        <v>4</v>
      </c>
      <c r="F25">
        <v>273.25</v>
      </c>
      <c r="G25" t="s">
        <v>2433</v>
      </c>
      <c r="H25" t="s">
        <v>3065</v>
      </c>
      <c r="I25" t="s">
        <v>3071</v>
      </c>
      <c r="J25" t="s">
        <v>3098</v>
      </c>
      <c r="K25">
        <v>5</v>
      </c>
      <c r="L25" t="s">
        <v>4276</v>
      </c>
      <c r="M25" t="s">
        <v>4279</v>
      </c>
      <c r="N25">
        <v>1093</v>
      </c>
      <c r="O25">
        <f t="shared" si="0"/>
        <v>1093</v>
      </c>
      <c r="P25" t="str">
        <f t="shared" si="1"/>
        <v>Apr</v>
      </c>
      <c r="Q25" t="str">
        <f t="shared" si="2"/>
        <v>Q2</v>
      </c>
      <c r="R25" s="5" t="str">
        <f t="shared" si="5"/>
        <v>Large</v>
      </c>
      <c r="S25" s="5" t="str">
        <f t="shared" si="3"/>
        <v>Pending</v>
      </c>
      <c r="T25" s="5" t="str">
        <f t="shared" si="4"/>
        <v>Yes</v>
      </c>
    </row>
    <row r="26" spans="1:20" x14ac:dyDescent="0.35">
      <c r="A26" t="s">
        <v>38</v>
      </c>
      <c r="B26" s="2">
        <v>45595</v>
      </c>
      <c r="C26" t="s">
        <v>1238</v>
      </c>
      <c r="D26" t="s">
        <v>2408</v>
      </c>
      <c r="E26">
        <v>2</v>
      </c>
      <c r="F26">
        <v>230.95</v>
      </c>
      <c r="G26" t="s">
        <v>2434</v>
      </c>
      <c r="H26" t="s">
        <v>3066</v>
      </c>
      <c r="I26" t="s">
        <v>3073</v>
      </c>
      <c r="J26" t="s">
        <v>3099</v>
      </c>
      <c r="K26">
        <v>3</v>
      </c>
      <c r="L26" t="s">
        <v>4277</v>
      </c>
      <c r="M26" t="s">
        <v>4279</v>
      </c>
      <c r="N26">
        <v>461.9</v>
      </c>
      <c r="O26">
        <f t="shared" si="0"/>
        <v>461.9</v>
      </c>
      <c r="P26" t="str">
        <f t="shared" si="1"/>
        <v>Oct</v>
      </c>
      <c r="Q26" t="str">
        <f t="shared" si="2"/>
        <v>Q4</v>
      </c>
      <c r="R26" s="5" t="str">
        <f t="shared" si="5"/>
        <v>Medium</v>
      </c>
      <c r="S26" s="5" t="str">
        <f t="shared" si="3"/>
        <v>Completed</v>
      </c>
      <c r="T26" s="5" t="str">
        <f t="shared" si="4"/>
        <v>Yes</v>
      </c>
    </row>
    <row r="27" spans="1:20" x14ac:dyDescent="0.35">
      <c r="A27" t="s">
        <v>39</v>
      </c>
      <c r="B27" s="2">
        <v>45497</v>
      </c>
      <c r="C27" t="s">
        <v>1239</v>
      </c>
      <c r="D27" t="s">
        <v>2403</v>
      </c>
      <c r="E27">
        <v>1</v>
      </c>
      <c r="F27">
        <v>399.98</v>
      </c>
      <c r="G27" t="s">
        <v>2435</v>
      </c>
      <c r="H27" t="s">
        <v>3065</v>
      </c>
      <c r="I27" t="s">
        <v>3073</v>
      </c>
      <c r="J27" t="s">
        <v>3100</v>
      </c>
      <c r="K27">
        <v>3</v>
      </c>
      <c r="L27" t="s">
        <v>4277</v>
      </c>
      <c r="M27" t="s">
        <v>4280</v>
      </c>
      <c r="N27">
        <v>399.98</v>
      </c>
      <c r="O27">
        <f t="shared" si="0"/>
        <v>399.98</v>
      </c>
      <c r="P27" t="str">
        <f t="shared" si="1"/>
        <v>Jul</v>
      </c>
      <c r="Q27" t="str">
        <f t="shared" si="2"/>
        <v>Q3</v>
      </c>
      <c r="R27" s="5" t="str">
        <f t="shared" si="5"/>
        <v>Medium</v>
      </c>
      <c r="S27" s="5" t="str">
        <f t="shared" si="3"/>
        <v>Completed</v>
      </c>
      <c r="T27" s="5" t="str">
        <f t="shared" si="4"/>
        <v>Yes</v>
      </c>
    </row>
    <row r="28" spans="1:20" x14ac:dyDescent="0.35">
      <c r="A28" t="s">
        <v>40</v>
      </c>
      <c r="B28" s="2">
        <v>45357</v>
      </c>
      <c r="C28" t="s">
        <v>1240</v>
      </c>
      <c r="D28" t="s">
        <v>2408</v>
      </c>
      <c r="E28">
        <v>5</v>
      </c>
      <c r="F28">
        <v>59.55</v>
      </c>
      <c r="G28" t="s">
        <v>2436</v>
      </c>
      <c r="H28" t="s">
        <v>3066</v>
      </c>
      <c r="I28" t="s">
        <v>3073</v>
      </c>
      <c r="J28" t="s">
        <v>3101</v>
      </c>
      <c r="K28">
        <v>6</v>
      </c>
      <c r="L28" t="s">
        <v>4329</v>
      </c>
      <c r="M28" t="s">
        <v>4279</v>
      </c>
      <c r="N28">
        <v>297.75</v>
      </c>
      <c r="O28">
        <f t="shared" si="0"/>
        <v>297.75</v>
      </c>
      <c r="P28" t="str">
        <f t="shared" si="1"/>
        <v>Mar</v>
      </c>
      <c r="Q28" t="str">
        <f t="shared" si="2"/>
        <v>Q1</v>
      </c>
      <c r="R28" s="5" t="str">
        <f t="shared" si="5"/>
        <v>Medium</v>
      </c>
      <c r="S28" s="5" t="str">
        <f t="shared" si="3"/>
        <v>Completed</v>
      </c>
      <c r="T28" s="5" t="str">
        <f t="shared" si="4"/>
        <v>Yes</v>
      </c>
    </row>
    <row r="29" spans="1:20" x14ac:dyDescent="0.35">
      <c r="A29" t="s">
        <v>41</v>
      </c>
      <c r="B29" s="2">
        <v>45344</v>
      </c>
      <c r="C29" t="s">
        <v>1241</v>
      </c>
      <c r="D29" t="s">
        <v>2407</v>
      </c>
      <c r="E29">
        <v>1</v>
      </c>
      <c r="F29">
        <v>472.74</v>
      </c>
      <c r="G29" t="s">
        <v>2437</v>
      </c>
      <c r="H29" t="s">
        <v>3066</v>
      </c>
      <c r="I29" t="s">
        <v>3070</v>
      </c>
      <c r="J29" t="s">
        <v>3102</v>
      </c>
      <c r="K29">
        <v>6</v>
      </c>
      <c r="L29" t="s">
        <v>4277</v>
      </c>
      <c r="M29" t="s">
        <v>4282</v>
      </c>
      <c r="N29">
        <v>472.74</v>
      </c>
      <c r="O29">
        <f t="shared" si="0"/>
        <v>472.74</v>
      </c>
      <c r="P29" t="str">
        <f t="shared" si="1"/>
        <v>Feb</v>
      </c>
      <c r="Q29" t="str">
        <f t="shared" si="2"/>
        <v>Q1</v>
      </c>
      <c r="R29" s="5" t="str">
        <f t="shared" si="5"/>
        <v>Medium</v>
      </c>
      <c r="S29" s="5" t="str">
        <f t="shared" si="3"/>
        <v>Pending</v>
      </c>
      <c r="T29" s="5" t="str">
        <f t="shared" si="4"/>
        <v>Yes</v>
      </c>
    </row>
    <row r="30" spans="1:20" x14ac:dyDescent="0.35">
      <c r="A30" t="s">
        <v>42</v>
      </c>
      <c r="B30" s="2">
        <v>45251</v>
      </c>
      <c r="C30" t="s">
        <v>1242</v>
      </c>
      <c r="D30" t="s">
        <v>2404</v>
      </c>
      <c r="E30">
        <v>4</v>
      </c>
      <c r="F30">
        <v>160.07</v>
      </c>
      <c r="G30" t="s">
        <v>2438</v>
      </c>
      <c r="H30" t="s">
        <v>3066</v>
      </c>
      <c r="I30" t="s">
        <v>3074</v>
      </c>
      <c r="J30" t="s">
        <v>3103</v>
      </c>
      <c r="K30">
        <v>5</v>
      </c>
      <c r="L30" t="s">
        <v>4329</v>
      </c>
      <c r="M30" t="s">
        <v>4280</v>
      </c>
      <c r="N30">
        <v>640.28</v>
      </c>
      <c r="O30">
        <f t="shared" si="0"/>
        <v>640.28</v>
      </c>
      <c r="P30" t="str">
        <f t="shared" si="1"/>
        <v>Nov</v>
      </c>
      <c r="Q30" t="str">
        <f t="shared" si="2"/>
        <v>Q4</v>
      </c>
      <c r="R30" s="5" t="str">
        <f t="shared" si="5"/>
        <v>Large</v>
      </c>
      <c r="S30" s="5" t="str">
        <f t="shared" si="3"/>
        <v>Pending</v>
      </c>
      <c r="T30" s="5" t="str">
        <f t="shared" si="4"/>
        <v>Yes</v>
      </c>
    </row>
    <row r="31" spans="1:20"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c r="O31">
        <f t="shared" si="0"/>
        <v>1270.5899999999999</v>
      </c>
      <c r="P31" t="str">
        <f t="shared" si="1"/>
        <v>Sep</v>
      </c>
      <c r="Q31" t="str">
        <f t="shared" si="2"/>
        <v>Q3</v>
      </c>
      <c r="R31" s="5" t="str">
        <f t="shared" si="5"/>
        <v>Large</v>
      </c>
      <c r="S31" s="5" t="str">
        <f t="shared" si="3"/>
        <v>Completed</v>
      </c>
      <c r="T31" s="5" t="str">
        <f t="shared" si="4"/>
        <v>Yes</v>
      </c>
    </row>
    <row r="32" spans="1:20" x14ac:dyDescent="0.35">
      <c r="A32" t="s">
        <v>44</v>
      </c>
      <c r="B32" s="2">
        <v>45738</v>
      </c>
      <c r="C32" t="s">
        <v>1244</v>
      </c>
      <c r="D32" t="s">
        <v>2403</v>
      </c>
      <c r="E32">
        <v>2</v>
      </c>
      <c r="F32">
        <v>426.7</v>
      </c>
      <c r="G32" t="s">
        <v>2440</v>
      </c>
      <c r="H32" t="s">
        <v>3066</v>
      </c>
      <c r="I32" t="s">
        <v>3074</v>
      </c>
      <c r="J32" t="s">
        <v>3105</v>
      </c>
      <c r="K32">
        <v>5</v>
      </c>
      <c r="L32" t="s">
        <v>4275</v>
      </c>
      <c r="M32" t="s">
        <v>4279</v>
      </c>
      <c r="N32">
        <v>853.4</v>
      </c>
      <c r="O32">
        <f t="shared" si="0"/>
        <v>853.4</v>
      </c>
      <c r="P32" t="str">
        <f t="shared" si="1"/>
        <v>Mar</v>
      </c>
      <c r="Q32" t="str">
        <f t="shared" si="2"/>
        <v>Q1</v>
      </c>
      <c r="R32" s="5" t="str">
        <f t="shared" si="5"/>
        <v>Large</v>
      </c>
      <c r="S32" s="5" t="str">
        <f t="shared" si="3"/>
        <v>Pending</v>
      </c>
      <c r="T32" s="5" t="str">
        <f t="shared" si="4"/>
        <v>Yes</v>
      </c>
    </row>
    <row r="33" spans="1:20" x14ac:dyDescent="0.35">
      <c r="A33" t="s">
        <v>45</v>
      </c>
      <c r="B33" s="2">
        <v>45107</v>
      </c>
      <c r="C33" t="s">
        <v>1245</v>
      </c>
      <c r="D33" t="s">
        <v>2406</v>
      </c>
      <c r="E33">
        <v>3</v>
      </c>
      <c r="F33">
        <v>500.08</v>
      </c>
      <c r="G33" t="s">
        <v>2441</v>
      </c>
      <c r="H33" t="s">
        <v>3065</v>
      </c>
      <c r="I33" t="s">
        <v>3072</v>
      </c>
      <c r="J33" t="s">
        <v>3106</v>
      </c>
      <c r="K33">
        <v>6</v>
      </c>
      <c r="L33" t="s">
        <v>4329</v>
      </c>
      <c r="M33" t="s">
        <v>4281</v>
      </c>
      <c r="N33">
        <v>1500.24</v>
      </c>
      <c r="O33">
        <f t="shared" si="0"/>
        <v>1500.24</v>
      </c>
      <c r="P33" t="str">
        <f t="shared" si="1"/>
        <v>Jun</v>
      </c>
      <c r="Q33" t="str">
        <f t="shared" si="2"/>
        <v>Q2</v>
      </c>
      <c r="R33" s="5" t="str">
        <f t="shared" si="5"/>
        <v>Large</v>
      </c>
      <c r="S33" s="5" t="str">
        <f t="shared" si="3"/>
        <v>Pending</v>
      </c>
      <c r="T33" s="5" t="str">
        <f t="shared" si="4"/>
        <v>Yes</v>
      </c>
    </row>
    <row r="34" spans="1:20" x14ac:dyDescent="0.35">
      <c r="A34" t="s">
        <v>46</v>
      </c>
      <c r="B34" s="2">
        <v>45047</v>
      </c>
      <c r="C34" t="s">
        <v>1246</v>
      </c>
      <c r="D34" t="s">
        <v>2405</v>
      </c>
      <c r="E34">
        <v>5</v>
      </c>
      <c r="F34">
        <v>536.72</v>
      </c>
      <c r="G34" t="s">
        <v>2442</v>
      </c>
      <c r="H34" t="s">
        <v>3069</v>
      </c>
      <c r="I34" t="s">
        <v>3073</v>
      </c>
      <c r="J34" t="s">
        <v>3107</v>
      </c>
      <c r="K34">
        <v>10</v>
      </c>
      <c r="L34" t="s">
        <v>4329</v>
      </c>
      <c r="M34" t="s">
        <v>4280</v>
      </c>
      <c r="N34">
        <v>2683.6</v>
      </c>
      <c r="O34">
        <f t="shared" si="0"/>
        <v>2683.6000000000004</v>
      </c>
      <c r="P34" t="str">
        <f t="shared" si="1"/>
        <v>May</v>
      </c>
      <c r="Q34" t="str">
        <f t="shared" si="2"/>
        <v>Q2</v>
      </c>
      <c r="R34" s="5" t="str">
        <f t="shared" si="5"/>
        <v>Large</v>
      </c>
      <c r="S34" s="5" t="str">
        <f t="shared" si="3"/>
        <v>Completed</v>
      </c>
      <c r="T34" s="5" t="str">
        <f t="shared" si="4"/>
        <v>Yes</v>
      </c>
    </row>
    <row r="35" spans="1:20"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c r="O35">
        <f t="shared" si="0"/>
        <v>162.77000000000001</v>
      </c>
      <c r="P35" t="str">
        <f t="shared" si="1"/>
        <v>Jun</v>
      </c>
      <c r="Q35" t="str">
        <f t="shared" si="2"/>
        <v>Q2</v>
      </c>
      <c r="R35" s="5" t="str">
        <f t="shared" si="5"/>
        <v>Medium</v>
      </c>
      <c r="S35" s="5" t="str">
        <f t="shared" si="3"/>
        <v>Pending</v>
      </c>
      <c r="T35" s="5" t="str">
        <f t="shared" si="4"/>
        <v>Yes</v>
      </c>
    </row>
    <row r="36" spans="1:20" x14ac:dyDescent="0.35">
      <c r="A36" t="s">
        <v>48</v>
      </c>
      <c r="B36" s="2">
        <v>44933</v>
      </c>
      <c r="C36" t="s">
        <v>1248</v>
      </c>
      <c r="D36" t="s">
        <v>2406</v>
      </c>
      <c r="E36">
        <v>4</v>
      </c>
      <c r="F36">
        <v>576.52</v>
      </c>
      <c r="G36" t="s">
        <v>2444</v>
      </c>
      <c r="H36" t="s">
        <v>3067</v>
      </c>
      <c r="I36" t="s">
        <v>3074</v>
      </c>
      <c r="J36" t="s">
        <v>3109</v>
      </c>
      <c r="K36">
        <v>5</v>
      </c>
      <c r="L36" t="s">
        <v>4277</v>
      </c>
      <c r="M36" t="s">
        <v>4281</v>
      </c>
      <c r="N36">
        <v>2306.08</v>
      </c>
      <c r="O36">
        <f t="shared" si="0"/>
        <v>2306.08</v>
      </c>
      <c r="P36" t="str">
        <f t="shared" si="1"/>
        <v>Jan</v>
      </c>
      <c r="Q36" t="str">
        <f t="shared" si="2"/>
        <v>Q1</v>
      </c>
      <c r="R36" s="5" t="str">
        <f t="shared" si="5"/>
        <v>Large</v>
      </c>
      <c r="S36" s="5" t="str">
        <f t="shared" si="3"/>
        <v>Pending</v>
      </c>
      <c r="T36" s="5" t="str">
        <f t="shared" si="4"/>
        <v>Yes</v>
      </c>
    </row>
    <row r="37" spans="1:20" x14ac:dyDescent="0.35">
      <c r="A37" t="s">
        <v>49</v>
      </c>
      <c r="B37" s="2">
        <v>45633</v>
      </c>
      <c r="C37" t="s">
        <v>1249</v>
      </c>
      <c r="D37" t="s">
        <v>2403</v>
      </c>
      <c r="E37">
        <v>2</v>
      </c>
      <c r="F37">
        <v>465.15</v>
      </c>
      <c r="G37" t="s">
        <v>2445</v>
      </c>
      <c r="H37" t="s">
        <v>3066</v>
      </c>
      <c r="I37" t="s">
        <v>3070</v>
      </c>
      <c r="J37" t="s">
        <v>3110</v>
      </c>
      <c r="K37">
        <v>2</v>
      </c>
      <c r="L37" t="s">
        <v>4275</v>
      </c>
      <c r="M37" t="s">
        <v>4281</v>
      </c>
      <c r="N37">
        <v>930.3</v>
      </c>
      <c r="O37">
        <f t="shared" si="0"/>
        <v>930.3</v>
      </c>
      <c r="P37" t="str">
        <f t="shared" si="1"/>
        <v>Dec</v>
      </c>
      <c r="Q37" t="str">
        <f t="shared" si="2"/>
        <v>Q4</v>
      </c>
      <c r="R37" s="5" t="str">
        <f t="shared" si="5"/>
        <v>Large</v>
      </c>
      <c r="S37" s="5" t="str">
        <f t="shared" si="3"/>
        <v>Pending</v>
      </c>
      <c r="T37" s="5" t="str">
        <f t="shared" si="4"/>
        <v>Yes</v>
      </c>
    </row>
    <row r="38" spans="1:20" x14ac:dyDescent="0.35">
      <c r="A38" t="s">
        <v>50</v>
      </c>
      <c r="B38" s="2">
        <v>45785</v>
      </c>
      <c r="C38" t="s">
        <v>1250</v>
      </c>
      <c r="D38" t="s">
        <v>2408</v>
      </c>
      <c r="E38">
        <v>2</v>
      </c>
      <c r="F38">
        <v>534.42999999999995</v>
      </c>
      <c r="G38" t="s">
        <v>2446</v>
      </c>
      <c r="H38" t="s">
        <v>3065</v>
      </c>
      <c r="I38" t="s">
        <v>3074</v>
      </c>
      <c r="J38" t="s">
        <v>3111</v>
      </c>
      <c r="K38">
        <v>5</v>
      </c>
      <c r="L38" t="s">
        <v>4329</v>
      </c>
      <c r="M38" t="s">
        <v>4281</v>
      </c>
      <c r="N38">
        <v>1068.8599999999999</v>
      </c>
      <c r="O38">
        <f t="shared" si="0"/>
        <v>1068.8599999999999</v>
      </c>
      <c r="P38" t="str">
        <f t="shared" si="1"/>
        <v>May</v>
      </c>
      <c r="Q38" t="str">
        <f t="shared" si="2"/>
        <v>Q2</v>
      </c>
      <c r="R38" s="5" t="str">
        <f t="shared" si="5"/>
        <v>Large</v>
      </c>
      <c r="S38" s="5" t="str">
        <f t="shared" si="3"/>
        <v>Pending</v>
      </c>
      <c r="T38" s="5" t="str">
        <f t="shared" si="4"/>
        <v>Yes</v>
      </c>
    </row>
    <row r="39" spans="1:20"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c r="O39">
        <f t="shared" si="0"/>
        <v>153.47999999999999</v>
      </c>
      <c r="P39" t="str">
        <f t="shared" si="1"/>
        <v>Oct</v>
      </c>
      <c r="Q39" t="str">
        <f t="shared" si="2"/>
        <v>Q4</v>
      </c>
      <c r="R39" s="5" t="str">
        <f t="shared" si="5"/>
        <v>Medium</v>
      </c>
      <c r="S39" s="5" t="str">
        <f t="shared" si="3"/>
        <v>Pending</v>
      </c>
      <c r="T39" s="5" t="str">
        <f t="shared" si="4"/>
        <v>Yes</v>
      </c>
    </row>
    <row r="40" spans="1:20" x14ac:dyDescent="0.35">
      <c r="A40" t="s">
        <v>52</v>
      </c>
      <c r="B40" s="2">
        <v>45645</v>
      </c>
      <c r="C40" t="s">
        <v>1252</v>
      </c>
      <c r="D40" t="s">
        <v>2408</v>
      </c>
      <c r="E40">
        <v>1</v>
      </c>
      <c r="F40">
        <v>245.89</v>
      </c>
      <c r="G40" t="s">
        <v>2448</v>
      </c>
      <c r="H40" t="s">
        <v>3065</v>
      </c>
      <c r="I40" t="s">
        <v>3073</v>
      </c>
      <c r="J40" t="s">
        <v>3113</v>
      </c>
      <c r="K40">
        <v>3</v>
      </c>
      <c r="L40" t="s">
        <v>4275</v>
      </c>
      <c r="M40" t="s">
        <v>4282</v>
      </c>
      <c r="N40">
        <v>245.89</v>
      </c>
      <c r="O40">
        <f t="shared" si="0"/>
        <v>245.89</v>
      </c>
      <c r="P40" t="str">
        <f t="shared" si="1"/>
        <v>Dec</v>
      </c>
      <c r="Q40" t="str">
        <f t="shared" si="2"/>
        <v>Q4</v>
      </c>
      <c r="R40" s="5" t="str">
        <f t="shared" si="5"/>
        <v>Medium</v>
      </c>
      <c r="S40" s="5" t="str">
        <f t="shared" si="3"/>
        <v>Completed</v>
      </c>
      <c r="T40" s="5" t="str">
        <f t="shared" si="4"/>
        <v>Yes</v>
      </c>
    </row>
    <row r="41" spans="1:20"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c r="O41">
        <f t="shared" si="0"/>
        <v>769.37999999999988</v>
      </c>
      <c r="P41" t="str">
        <f t="shared" si="1"/>
        <v>Feb</v>
      </c>
      <c r="Q41" t="str">
        <f t="shared" si="2"/>
        <v>Q1</v>
      </c>
      <c r="R41" s="5" t="str">
        <f t="shared" si="5"/>
        <v>Large</v>
      </c>
      <c r="S41" s="5" t="str">
        <f t="shared" si="3"/>
        <v>Completed</v>
      </c>
      <c r="T41" s="5" t="str">
        <f t="shared" si="4"/>
        <v>Yes</v>
      </c>
    </row>
    <row r="42" spans="1:20" x14ac:dyDescent="0.35">
      <c r="A42" t="s">
        <v>54</v>
      </c>
      <c r="B42" s="2">
        <v>45158</v>
      </c>
      <c r="C42" t="s">
        <v>1254</v>
      </c>
      <c r="D42" t="s">
        <v>2409</v>
      </c>
      <c r="E42">
        <v>2</v>
      </c>
      <c r="F42">
        <v>344.02</v>
      </c>
      <c r="G42" t="s">
        <v>2450</v>
      </c>
      <c r="H42" t="s">
        <v>3066</v>
      </c>
      <c r="I42" t="s">
        <v>3073</v>
      </c>
      <c r="J42" t="s">
        <v>3115</v>
      </c>
      <c r="K42">
        <v>4</v>
      </c>
      <c r="L42" t="s">
        <v>4276</v>
      </c>
      <c r="M42" t="s">
        <v>4278</v>
      </c>
      <c r="N42">
        <v>688.04</v>
      </c>
      <c r="O42">
        <f t="shared" si="0"/>
        <v>688.04</v>
      </c>
      <c r="P42" t="str">
        <f t="shared" si="1"/>
        <v>Aug</v>
      </c>
      <c r="Q42" t="str">
        <f t="shared" si="2"/>
        <v>Q3</v>
      </c>
      <c r="R42" s="5" t="str">
        <f t="shared" si="5"/>
        <v>Large</v>
      </c>
      <c r="S42" s="5" t="str">
        <f t="shared" si="3"/>
        <v>Completed</v>
      </c>
      <c r="T42" s="5" t="str">
        <f t="shared" si="4"/>
        <v>Yes</v>
      </c>
    </row>
    <row r="43" spans="1:20"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c r="O43">
        <f t="shared" si="0"/>
        <v>1834.3500000000001</v>
      </c>
      <c r="P43" t="str">
        <f t="shared" si="1"/>
        <v>Dec</v>
      </c>
      <c r="Q43" t="str">
        <f t="shared" si="2"/>
        <v>Q4</v>
      </c>
      <c r="R43" s="5" t="str">
        <f t="shared" si="5"/>
        <v>Large</v>
      </c>
      <c r="S43" s="5" t="str">
        <f t="shared" si="3"/>
        <v>Pending</v>
      </c>
      <c r="T43" s="5" t="str">
        <f t="shared" si="4"/>
        <v>Yes</v>
      </c>
    </row>
    <row r="44" spans="1:20" x14ac:dyDescent="0.35">
      <c r="A44" t="s">
        <v>56</v>
      </c>
      <c r="B44" s="2">
        <v>45418</v>
      </c>
      <c r="C44" t="s">
        <v>1256</v>
      </c>
      <c r="D44" t="s">
        <v>2407</v>
      </c>
      <c r="E44">
        <v>2</v>
      </c>
      <c r="F44">
        <v>151.66</v>
      </c>
      <c r="G44" t="s">
        <v>2424</v>
      </c>
      <c r="H44" t="s">
        <v>3069</v>
      </c>
      <c r="I44" t="s">
        <v>3071</v>
      </c>
      <c r="J44" t="s">
        <v>3117</v>
      </c>
      <c r="K44">
        <v>6</v>
      </c>
      <c r="L44" t="s">
        <v>4329</v>
      </c>
      <c r="M44" t="s">
        <v>4278</v>
      </c>
      <c r="N44">
        <v>303.32</v>
      </c>
      <c r="O44">
        <f t="shared" si="0"/>
        <v>303.32</v>
      </c>
      <c r="P44" t="str">
        <f t="shared" si="1"/>
        <v>May</v>
      </c>
      <c r="Q44" t="str">
        <f t="shared" si="2"/>
        <v>Q2</v>
      </c>
      <c r="R44" s="5" t="str">
        <f t="shared" si="5"/>
        <v>Medium</v>
      </c>
      <c r="S44" s="5" t="str">
        <f t="shared" si="3"/>
        <v>Pending</v>
      </c>
      <c r="T44" s="5" t="str">
        <f t="shared" si="4"/>
        <v>Yes</v>
      </c>
    </row>
    <row r="45" spans="1:20" x14ac:dyDescent="0.35">
      <c r="A45" t="s">
        <v>57</v>
      </c>
      <c r="B45" s="2">
        <v>45274</v>
      </c>
      <c r="C45" t="s">
        <v>1257</v>
      </c>
      <c r="D45" t="s">
        <v>2406</v>
      </c>
      <c r="E45">
        <v>3</v>
      </c>
      <c r="F45">
        <v>499.21</v>
      </c>
      <c r="G45" t="s">
        <v>2452</v>
      </c>
      <c r="H45" t="s">
        <v>3066</v>
      </c>
      <c r="I45" t="s">
        <v>3071</v>
      </c>
      <c r="J45" t="s">
        <v>3118</v>
      </c>
      <c r="K45">
        <v>8</v>
      </c>
      <c r="L45" t="s">
        <v>4329</v>
      </c>
      <c r="M45" t="s">
        <v>4278</v>
      </c>
      <c r="N45">
        <v>1497.63</v>
      </c>
      <c r="O45">
        <f t="shared" si="0"/>
        <v>1497.6299999999999</v>
      </c>
      <c r="P45" t="str">
        <f t="shared" si="1"/>
        <v>Dec</v>
      </c>
      <c r="Q45" t="str">
        <f t="shared" si="2"/>
        <v>Q4</v>
      </c>
      <c r="R45" s="5" t="str">
        <f t="shared" si="5"/>
        <v>Large</v>
      </c>
      <c r="S45" s="5" t="str">
        <f t="shared" si="3"/>
        <v>Pending</v>
      </c>
      <c r="T45" s="5" t="str">
        <f t="shared" si="4"/>
        <v>Yes</v>
      </c>
    </row>
    <row r="46" spans="1:20"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c r="O46">
        <f t="shared" si="0"/>
        <v>1100.3599999999999</v>
      </c>
      <c r="P46" t="str">
        <f t="shared" si="1"/>
        <v>Apr</v>
      </c>
      <c r="Q46" t="str">
        <f t="shared" si="2"/>
        <v>Q2</v>
      </c>
      <c r="R46" s="5" t="str">
        <f t="shared" si="5"/>
        <v>Large</v>
      </c>
      <c r="S46" s="5" t="str">
        <f t="shared" si="3"/>
        <v>Pending</v>
      </c>
      <c r="T46" s="5" t="str">
        <f t="shared" si="4"/>
        <v>Yes</v>
      </c>
    </row>
    <row r="47" spans="1:20" x14ac:dyDescent="0.35">
      <c r="A47" t="s">
        <v>59</v>
      </c>
      <c r="B47" s="2">
        <v>45332</v>
      </c>
      <c r="C47" t="s">
        <v>1259</v>
      </c>
      <c r="D47" t="s">
        <v>2406</v>
      </c>
      <c r="E47">
        <v>1</v>
      </c>
      <c r="F47">
        <v>317.25</v>
      </c>
      <c r="G47" t="s">
        <v>2453</v>
      </c>
      <c r="H47" t="s">
        <v>3065</v>
      </c>
      <c r="I47" t="s">
        <v>3072</v>
      </c>
      <c r="J47" t="s">
        <v>3120</v>
      </c>
      <c r="K47">
        <v>1</v>
      </c>
      <c r="L47" t="s">
        <v>4275</v>
      </c>
      <c r="M47" t="s">
        <v>4281</v>
      </c>
      <c r="N47">
        <v>317.25</v>
      </c>
      <c r="O47">
        <f t="shared" si="0"/>
        <v>317.25</v>
      </c>
      <c r="P47" t="str">
        <f t="shared" si="1"/>
        <v>Feb</v>
      </c>
      <c r="Q47" t="str">
        <f t="shared" si="2"/>
        <v>Q1</v>
      </c>
      <c r="R47" s="5" t="str">
        <f t="shared" si="5"/>
        <v>Medium</v>
      </c>
      <c r="S47" s="5" t="str">
        <f t="shared" si="3"/>
        <v>Pending</v>
      </c>
      <c r="T47" s="5" t="str">
        <f t="shared" si="4"/>
        <v>Yes</v>
      </c>
    </row>
    <row r="48" spans="1:20" x14ac:dyDescent="0.35">
      <c r="A48" t="s">
        <v>60</v>
      </c>
      <c r="B48" s="2">
        <v>45469</v>
      </c>
      <c r="C48" t="s">
        <v>1260</v>
      </c>
      <c r="D48" t="s">
        <v>2403</v>
      </c>
      <c r="E48">
        <v>4</v>
      </c>
      <c r="F48">
        <v>550.14</v>
      </c>
      <c r="G48" t="s">
        <v>2454</v>
      </c>
      <c r="H48" t="s">
        <v>3065</v>
      </c>
      <c r="I48" t="s">
        <v>3074</v>
      </c>
      <c r="J48" t="s">
        <v>3121</v>
      </c>
      <c r="K48">
        <v>4</v>
      </c>
      <c r="L48" t="s">
        <v>4276</v>
      </c>
      <c r="M48" t="s">
        <v>4278</v>
      </c>
      <c r="N48">
        <v>2200.56</v>
      </c>
      <c r="O48">
        <f t="shared" si="0"/>
        <v>2200.56</v>
      </c>
      <c r="P48" t="str">
        <f t="shared" si="1"/>
        <v>Jun</v>
      </c>
      <c r="Q48" t="str">
        <f t="shared" si="2"/>
        <v>Q2</v>
      </c>
      <c r="R48" s="5" t="str">
        <f t="shared" si="5"/>
        <v>Large</v>
      </c>
      <c r="S48" s="5" t="str">
        <f t="shared" si="3"/>
        <v>Pending</v>
      </c>
      <c r="T48" s="5" t="str">
        <f t="shared" si="4"/>
        <v>Yes</v>
      </c>
    </row>
    <row r="49" spans="1:20" x14ac:dyDescent="0.35">
      <c r="A49" t="s">
        <v>61</v>
      </c>
      <c r="B49" s="2">
        <v>45126</v>
      </c>
      <c r="C49" t="s">
        <v>1261</v>
      </c>
      <c r="D49" t="s">
        <v>2409</v>
      </c>
      <c r="E49">
        <v>2</v>
      </c>
      <c r="F49">
        <v>209.94</v>
      </c>
      <c r="G49" t="s">
        <v>2455</v>
      </c>
      <c r="H49" t="s">
        <v>3067</v>
      </c>
      <c r="I49" t="s">
        <v>3072</v>
      </c>
      <c r="J49" t="s">
        <v>3122</v>
      </c>
      <c r="K49">
        <v>3</v>
      </c>
      <c r="L49" t="s">
        <v>4276</v>
      </c>
      <c r="M49" t="s">
        <v>4280</v>
      </c>
      <c r="N49">
        <v>419.88</v>
      </c>
      <c r="O49">
        <f t="shared" si="0"/>
        <v>419.88</v>
      </c>
      <c r="P49" t="str">
        <f t="shared" si="1"/>
        <v>Jul</v>
      </c>
      <c r="Q49" t="str">
        <f t="shared" si="2"/>
        <v>Q3</v>
      </c>
      <c r="R49" s="5" t="str">
        <f t="shared" si="5"/>
        <v>Medium</v>
      </c>
      <c r="S49" s="5" t="str">
        <f t="shared" si="3"/>
        <v>Pending</v>
      </c>
      <c r="T49" s="5" t="str">
        <f t="shared" si="4"/>
        <v>Yes</v>
      </c>
    </row>
    <row r="50" spans="1:20" x14ac:dyDescent="0.35">
      <c r="A50" t="s">
        <v>62</v>
      </c>
      <c r="B50" s="2">
        <v>45164</v>
      </c>
      <c r="C50" t="s">
        <v>1262</v>
      </c>
      <c r="D50" t="s">
        <v>2403</v>
      </c>
      <c r="E50">
        <v>2</v>
      </c>
      <c r="F50">
        <v>80.77</v>
      </c>
      <c r="G50" t="s">
        <v>2456</v>
      </c>
      <c r="H50" t="s">
        <v>3065</v>
      </c>
      <c r="I50" t="s">
        <v>3070</v>
      </c>
      <c r="J50" t="s">
        <v>3123</v>
      </c>
      <c r="K50">
        <v>4</v>
      </c>
      <c r="L50" t="s">
        <v>4329</v>
      </c>
      <c r="M50" t="s">
        <v>4282</v>
      </c>
      <c r="N50">
        <v>161.54</v>
      </c>
      <c r="O50">
        <f t="shared" si="0"/>
        <v>161.54</v>
      </c>
      <c r="P50" t="str">
        <f t="shared" si="1"/>
        <v>Aug</v>
      </c>
      <c r="Q50" t="str">
        <f t="shared" si="2"/>
        <v>Q3</v>
      </c>
      <c r="R50" s="5" t="str">
        <f t="shared" si="5"/>
        <v>Medium</v>
      </c>
      <c r="S50" s="5" t="str">
        <f t="shared" si="3"/>
        <v>Pending</v>
      </c>
      <c r="T50" s="5" t="str">
        <f t="shared" si="4"/>
        <v>Yes</v>
      </c>
    </row>
    <row r="51" spans="1:20" x14ac:dyDescent="0.35">
      <c r="A51" t="s">
        <v>63</v>
      </c>
      <c r="B51" s="2">
        <v>45206</v>
      </c>
      <c r="C51" t="s">
        <v>1263</v>
      </c>
      <c r="D51" t="s">
        <v>2407</v>
      </c>
      <c r="E51">
        <v>1</v>
      </c>
      <c r="F51">
        <v>30.44</v>
      </c>
      <c r="G51" t="s">
        <v>2432</v>
      </c>
      <c r="H51" t="s">
        <v>3067</v>
      </c>
      <c r="I51" t="s">
        <v>3070</v>
      </c>
      <c r="J51" t="s">
        <v>3124</v>
      </c>
      <c r="K51">
        <v>1</v>
      </c>
      <c r="L51" t="s">
        <v>4275</v>
      </c>
      <c r="M51" t="s">
        <v>4280</v>
      </c>
      <c r="N51">
        <v>30.44</v>
      </c>
      <c r="O51">
        <f t="shared" si="0"/>
        <v>30.44</v>
      </c>
      <c r="P51" t="str">
        <f t="shared" si="1"/>
        <v>Oct</v>
      </c>
      <c r="Q51" t="str">
        <f t="shared" si="2"/>
        <v>Q4</v>
      </c>
      <c r="R51" s="5" t="str">
        <f t="shared" si="5"/>
        <v>Small</v>
      </c>
      <c r="S51" s="5" t="str">
        <f t="shared" si="3"/>
        <v>Pending</v>
      </c>
      <c r="T51" s="5" t="str">
        <f t="shared" si="4"/>
        <v>Yes</v>
      </c>
    </row>
    <row r="52" spans="1:20" x14ac:dyDescent="0.35">
      <c r="A52" t="s">
        <v>64</v>
      </c>
      <c r="B52" s="2">
        <v>45138</v>
      </c>
      <c r="C52" t="s">
        <v>1264</v>
      </c>
      <c r="D52" t="s">
        <v>2405</v>
      </c>
      <c r="E52">
        <v>1</v>
      </c>
      <c r="F52">
        <v>179.22</v>
      </c>
      <c r="G52" t="s">
        <v>2457</v>
      </c>
      <c r="H52" t="s">
        <v>3066</v>
      </c>
      <c r="I52" t="s">
        <v>3071</v>
      </c>
      <c r="J52" t="s">
        <v>3125</v>
      </c>
      <c r="K52">
        <v>6</v>
      </c>
      <c r="L52" t="s">
        <v>4276</v>
      </c>
      <c r="M52" t="s">
        <v>4278</v>
      </c>
      <c r="N52">
        <v>179.22</v>
      </c>
      <c r="O52">
        <f t="shared" si="0"/>
        <v>179.22</v>
      </c>
      <c r="P52" t="str">
        <f t="shared" si="1"/>
        <v>Jul</v>
      </c>
      <c r="Q52" t="str">
        <f t="shared" si="2"/>
        <v>Q3</v>
      </c>
      <c r="R52" s="5" t="str">
        <f t="shared" si="5"/>
        <v>Medium</v>
      </c>
      <c r="S52" s="5" t="str">
        <f t="shared" si="3"/>
        <v>Pending</v>
      </c>
      <c r="T52" s="5" t="str">
        <f t="shared" si="4"/>
        <v>Yes</v>
      </c>
    </row>
    <row r="53" spans="1:20" x14ac:dyDescent="0.35">
      <c r="A53" t="s">
        <v>65</v>
      </c>
      <c r="B53" s="2">
        <v>45656</v>
      </c>
      <c r="C53" t="s">
        <v>1265</v>
      </c>
      <c r="D53" t="s">
        <v>2405</v>
      </c>
      <c r="E53">
        <v>1</v>
      </c>
      <c r="F53">
        <v>388.33</v>
      </c>
      <c r="G53" t="s">
        <v>2458</v>
      </c>
      <c r="H53" t="s">
        <v>3069</v>
      </c>
      <c r="I53" t="s">
        <v>3072</v>
      </c>
      <c r="J53" t="s">
        <v>3126</v>
      </c>
      <c r="K53">
        <v>2</v>
      </c>
      <c r="L53" t="s">
        <v>4275</v>
      </c>
      <c r="M53" t="s">
        <v>4281</v>
      </c>
      <c r="N53">
        <v>388.33</v>
      </c>
      <c r="O53">
        <f t="shared" si="0"/>
        <v>388.33</v>
      </c>
      <c r="P53" t="str">
        <f t="shared" si="1"/>
        <v>Dec</v>
      </c>
      <c r="Q53" t="str">
        <f t="shared" si="2"/>
        <v>Q4</v>
      </c>
      <c r="R53" s="5" t="str">
        <f t="shared" si="5"/>
        <v>Medium</v>
      </c>
      <c r="S53" s="5" t="str">
        <f t="shared" si="3"/>
        <v>Pending</v>
      </c>
      <c r="T53" s="5" t="str">
        <f t="shared" si="4"/>
        <v>Yes</v>
      </c>
    </row>
    <row r="54" spans="1:20"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c r="O54">
        <f t="shared" si="0"/>
        <v>586.44000000000005</v>
      </c>
      <c r="P54" t="str">
        <f t="shared" si="1"/>
        <v>Sep</v>
      </c>
      <c r="Q54" t="str">
        <f t="shared" si="2"/>
        <v>Q3</v>
      </c>
      <c r="R54" s="5" t="str">
        <f t="shared" si="5"/>
        <v>Large</v>
      </c>
      <c r="S54" s="5" t="str">
        <f t="shared" si="3"/>
        <v>Pending</v>
      </c>
      <c r="T54" s="5" t="str">
        <f t="shared" si="4"/>
        <v>Yes</v>
      </c>
    </row>
    <row r="55" spans="1:20" x14ac:dyDescent="0.35">
      <c r="A55" t="s">
        <v>67</v>
      </c>
      <c r="B55" s="2">
        <v>45430</v>
      </c>
      <c r="C55" t="s">
        <v>1267</v>
      </c>
      <c r="D55" t="s">
        <v>2404</v>
      </c>
      <c r="E55">
        <v>4</v>
      </c>
      <c r="F55">
        <v>488.78</v>
      </c>
      <c r="G55" t="s">
        <v>2412</v>
      </c>
      <c r="H55" t="s">
        <v>3066</v>
      </c>
      <c r="I55" t="s">
        <v>3072</v>
      </c>
      <c r="J55" t="s">
        <v>3128</v>
      </c>
      <c r="K55">
        <v>5</v>
      </c>
      <c r="L55" t="s">
        <v>4276</v>
      </c>
      <c r="M55" t="s">
        <v>4282</v>
      </c>
      <c r="N55">
        <v>1955.12</v>
      </c>
      <c r="O55">
        <f t="shared" si="0"/>
        <v>1955.12</v>
      </c>
      <c r="P55" t="str">
        <f t="shared" si="1"/>
        <v>May</v>
      </c>
      <c r="Q55" t="str">
        <f t="shared" si="2"/>
        <v>Q2</v>
      </c>
      <c r="R55" s="5" t="str">
        <f t="shared" si="5"/>
        <v>Large</v>
      </c>
      <c r="S55" s="5" t="str">
        <f t="shared" si="3"/>
        <v>Pending</v>
      </c>
      <c r="T55" s="5" t="str">
        <f t="shared" si="4"/>
        <v>Yes</v>
      </c>
    </row>
    <row r="56" spans="1:20" x14ac:dyDescent="0.35">
      <c r="A56" t="s">
        <v>68</v>
      </c>
      <c r="B56" s="2">
        <v>45743</v>
      </c>
      <c r="C56" t="s">
        <v>1268</v>
      </c>
      <c r="D56" t="s">
        <v>2406</v>
      </c>
      <c r="E56">
        <v>1</v>
      </c>
      <c r="F56">
        <v>280.25</v>
      </c>
      <c r="G56" t="s">
        <v>2460</v>
      </c>
      <c r="H56" t="s">
        <v>3066</v>
      </c>
      <c r="I56" t="s">
        <v>3074</v>
      </c>
      <c r="J56" t="s">
        <v>3129</v>
      </c>
      <c r="K56">
        <v>5</v>
      </c>
      <c r="L56" t="s">
        <v>4277</v>
      </c>
      <c r="M56" t="s">
        <v>4280</v>
      </c>
      <c r="N56">
        <v>280.25</v>
      </c>
      <c r="O56">
        <f t="shared" si="0"/>
        <v>280.25</v>
      </c>
      <c r="P56" t="str">
        <f t="shared" si="1"/>
        <v>Mar</v>
      </c>
      <c r="Q56" t="str">
        <f t="shared" si="2"/>
        <v>Q1</v>
      </c>
      <c r="R56" s="5" t="str">
        <f t="shared" si="5"/>
        <v>Medium</v>
      </c>
      <c r="S56" s="5" t="str">
        <f t="shared" si="3"/>
        <v>Pending</v>
      </c>
      <c r="T56" s="5" t="str">
        <f t="shared" si="4"/>
        <v>Yes</v>
      </c>
    </row>
    <row r="57" spans="1:20" x14ac:dyDescent="0.35">
      <c r="A57" t="s">
        <v>69</v>
      </c>
      <c r="B57" s="2">
        <v>45832</v>
      </c>
      <c r="C57" t="s">
        <v>1269</v>
      </c>
      <c r="D57" t="s">
        <v>2407</v>
      </c>
      <c r="E57">
        <v>3</v>
      </c>
      <c r="F57">
        <v>344.4</v>
      </c>
      <c r="G57" t="s">
        <v>2461</v>
      </c>
      <c r="H57" t="s">
        <v>3066</v>
      </c>
      <c r="I57" t="s">
        <v>3071</v>
      </c>
      <c r="J57" t="s">
        <v>3130</v>
      </c>
      <c r="K57">
        <v>3</v>
      </c>
      <c r="L57" t="s">
        <v>4329</v>
      </c>
      <c r="M57" t="s">
        <v>4281</v>
      </c>
      <c r="N57">
        <v>1033.2</v>
      </c>
      <c r="O57">
        <f t="shared" si="0"/>
        <v>1033.1999999999998</v>
      </c>
      <c r="P57" t="str">
        <f t="shared" si="1"/>
        <v>Jun</v>
      </c>
      <c r="Q57" t="str">
        <f t="shared" si="2"/>
        <v>Q2</v>
      </c>
      <c r="R57" s="5" t="str">
        <f t="shared" si="5"/>
        <v>Large</v>
      </c>
      <c r="S57" s="5" t="str">
        <f t="shared" si="3"/>
        <v>Pending</v>
      </c>
      <c r="T57" s="5" t="str">
        <f t="shared" si="4"/>
        <v>Yes</v>
      </c>
    </row>
    <row r="58" spans="1:20" x14ac:dyDescent="0.35">
      <c r="A58" t="s">
        <v>70</v>
      </c>
      <c r="B58" s="2">
        <v>45067</v>
      </c>
      <c r="C58" t="s">
        <v>1270</v>
      </c>
      <c r="D58" t="s">
        <v>2405</v>
      </c>
      <c r="E58">
        <v>3</v>
      </c>
      <c r="F58">
        <v>479.21</v>
      </c>
      <c r="G58" t="s">
        <v>2462</v>
      </c>
      <c r="H58" t="s">
        <v>3069</v>
      </c>
      <c r="I58" t="s">
        <v>3071</v>
      </c>
      <c r="J58" t="s">
        <v>3131</v>
      </c>
      <c r="K58">
        <v>5</v>
      </c>
      <c r="L58" t="s">
        <v>4277</v>
      </c>
      <c r="M58" t="s">
        <v>4279</v>
      </c>
      <c r="N58">
        <v>1437.63</v>
      </c>
      <c r="O58">
        <f t="shared" si="0"/>
        <v>1437.6299999999999</v>
      </c>
      <c r="P58" t="str">
        <f t="shared" si="1"/>
        <v>May</v>
      </c>
      <c r="Q58" t="str">
        <f t="shared" si="2"/>
        <v>Q2</v>
      </c>
      <c r="R58" s="5" t="str">
        <f t="shared" si="5"/>
        <v>Large</v>
      </c>
      <c r="S58" s="5" t="str">
        <f t="shared" si="3"/>
        <v>Pending</v>
      </c>
      <c r="T58" s="5" t="str">
        <f t="shared" si="4"/>
        <v>Yes</v>
      </c>
    </row>
    <row r="59" spans="1:20" x14ac:dyDescent="0.35">
      <c r="A59" t="s">
        <v>71</v>
      </c>
      <c r="B59" s="2">
        <v>44948</v>
      </c>
      <c r="C59" t="s">
        <v>1271</v>
      </c>
      <c r="D59" t="s">
        <v>2407</v>
      </c>
      <c r="E59">
        <v>5</v>
      </c>
      <c r="F59">
        <v>314.27</v>
      </c>
      <c r="G59" t="s">
        <v>2463</v>
      </c>
      <c r="H59" t="s">
        <v>3069</v>
      </c>
      <c r="I59" t="s">
        <v>3072</v>
      </c>
      <c r="J59" t="s">
        <v>3132</v>
      </c>
      <c r="K59">
        <v>6</v>
      </c>
      <c r="L59" t="s">
        <v>4275</v>
      </c>
      <c r="M59" t="s">
        <v>4278</v>
      </c>
      <c r="N59">
        <v>1571.35</v>
      </c>
      <c r="O59">
        <f t="shared" si="0"/>
        <v>1571.35</v>
      </c>
      <c r="P59" t="str">
        <f t="shared" si="1"/>
        <v>Jan</v>
      </c>
      <c r="Q59" t="str">
        <f t="shared" si="2"/>
        <v>Q1</v>
      </c>
      <c r="R59" s="5" t="str">
        <f t="shared" si="5"/>
        <v>Large</v>
      </c>
      <c r="S59" s="5" t="str">
        <f t="shared" si="3"/>
        <v>Pending</v>
      </c>
      <c r="T59" s="5" t="str">
        <f t="shared" si="4"/>
        <v>Yes</v>
      </c>
    </row>
    <row r="60" spans="1:20" x14ac:dyDescent="0.35">
      <c r="A60" t="s">
        <v>72</v>
      </c>
      <c r="B60" s="2">
        <v>44941</v>
      </c>
      <c r="C60" t="s">
        <v>1272</v>
      </c>
      <c r="D60" t="s">
        <v>2404</v>
      </c>
      <c r="E60">
        <v>4</v>
      </c>
      <c r="F60">
        <v>474.69</v>
      </c>
      <c r="G60" t="s">
        <v>2464</v>
      </c>
      <c r="H60" t="s">
        <v>3068</v>
      </c>
      <c r="I60" t="s">
        <v>3071</v>
      </c>
      <c r="J60" t="s">
        <v>3133</v>
      </c>
      <c r="K60">
        <v>6</v>
      </c>
      <c r="L60" t="s">
        <v>4275</v>
      </c>
      <c r="M60" t="s">
        <v>4282</v>
      </c>
      <c r="N60">
        <v>1898.76</v>
      </c>
      <c r="O60">
        <f t="shared" si="0"/>
        <v>1898.76</v>
      </c>
      <c r="P60" t="str">
        <f t="shared" si="1"/>
        <v>Jan</v>
      </c>
      <c r="Q60" t="str">
        <f t="shared" si="2"/>
        <v>Q1</v>
      </c>
      <c r="R60" s="5" t="str">
        <f t="shared" si="5"/>
        <v>Large</v>
      </c>
      <c r="S60" s="5" t="str">
        <f t="shared" si="3"/>
        <v>Pending</v>
      </c>
      <c r="T60" s="5" t="str">
        <f t="shared" si="4"/>
        <v>Yes</v>
      </c>
    </row>
    <row r="61" spans="1:20" x14ac:dyDescent="0.35">
      <c r="A61" t="s">
        <v>73</v>
      </c>
      <c r="B61" s="2">
        <v>45546</v>
      </c>
      <c r="C61" t="s">
        <v>1273</v>
      </c>
      <c r="D61" t="s">
        <v>2406</v>
      </c>
      <c r="E61">
        <v>4</v>
      </c>
      <c r="F61">
        <v>593.27</v>
      </c>
      <c r="G61" t="s">
        <v>2465</v>
      </c>
      <c r="H61" t="s">
        <v>3066</v>
      </c>
      <c r="I61" t="s">
        <v>3070</v>
      </c>
      <c r="J61" t="s">
        <v>3134</v>
      </c>
      <c r="K61">
        <v>5</v>
      </c>
      <c r="L61" t="s">
        <v>4329</v>
      </c>
      <c r="M61" t="s">
        <v>4281</v>
      </c>
      <c r="N61">
        <v>2373.08</v>
      </c>
      <c r="O61">
        <f t="shared" si="0"/>
        <v>2373.08</v>
      </c>
      <c r="P61" t="str">
        <f t="shared" si="1"/>
        <v>Sep</v>
      </c>
      <c r="Q61" t="str">
        <f t="shared" si="2"/>
        <v>Q3</v>
      </c>
      <c r="R61" s="5" t="str">
        <f t="shared" si="5"/>
        <v>Large</v>
      </c>
      <c r="S61" s="5" t="str">
        <f t="shared" si="3"/>
        <v>Pending</v>
      </c>
      <c r="T61" s="5" t="str">
        <f t="shared" si="4"/>
        <v>Yes</v>
      </c>
    </row>
    <row r="62" spans="1:20" x14ac:dyDescent="0.35">
      <c r="A62" t="s">
        <v>74</v>
      </c>
      <c r="B62" s="2">
        <v>45525</v>
      </c>
      <c r="C62" t="s">
        <v>1274</v>
      </c>
      <c r="D62" t="s">
        <v>2409</v>
      </c>
      <c r="E62">
        <v>1</v>
      </c>
      <c r="F62">
        <v>417.1</v>
      </c>
      <c r="G62" t="s">
        <v>2466</v>
      </c>
      <c r="H62" t="s">
        <v>3065</v>
      </c>
      <c r="I62" t="s">
        <v>3072</v>
      </c>
      <c r="J62" t="s">
        <v>3135</v>
      </c>
      <c r="K62">
        <v>3</v>
      </c>
      <c r="L62" t="s">
        <v>4276</v>
      </c>
      <c r="M62" t="s">
        <v>4279</v>
      </c>
      <c r="N62">
        <v>417.1</v>
      </c>
      <c r="O62">
        <f t="shared" si="0"/>
        <v>417.1</v>
      </c>
      <c r="P62" t="str">
        <f t="shared" si="1"/>
        <v>Aug</v>
      </c>
      <c r="Q62" t="str">
        <f t="shared" si="2"/>
        <v>Q3</v>
      </c>
      <c r="R62" s="5" t="str">
        <f t="shared" si="5"/>
        <v>Medium</v>
      </c>
      <c r="S62" s="5" t="str">
        <f t="shared" si="3"/>
        <v>Pending</v>
      </c>
      <c r="T62" s="5" t="str">
        <f t="shared" si="4"/>
        <v>Yes</v>
      </c>
    </row>
    <row r="63" spans="1:20" x14ac:dyDescent="0.35">
      <c r="A63" t="s">
        <v>75</v>
      </c>
      <c r="B63" s="2">
        <v>45375</v>
      </c>
      <c r="C63" t="s">
        <v>1275</v>
      </c>
      <c r="D63" t="s">
        <v>2409</v>
      </c>
      <c r="E63">
        <v>4</v>
      </c>
      <c r="F63">
        <v>122.2</v>
      </c>
      <c r="G63" t="s">
        <v>2467</v>
      </c>
      <c r="H63" t="s">
        <v>3069</v>
      </c>
      <c r="I63" t="s">
        <v>3073</v>
      </c>
      <c r="J63" t="s">
        <v>3136</v>
      </c>
      <c r="K63">
        <v>7</v>
      </c>
      <c r="L63" t="s">
        <v>4276</v>
      </c>
      <c r="M63" t="s">
        <v>4281</v>
      </c>
      <c r="N63">
        <v>488.8</v>
      </c>
      <c r="O63">
        <f t="shared" si="0"/>
        <v>488.8</v>
      </c>
      <c r="P63" t="str">
        <f t="shared" si="1"/>
        <v>Mar</v>
      </c>
      <c r="Q63" t="str">
        <f t="shared" si="2"/>
        <v>Q1</v>
      </c>
      <c r="R63" s="5" t="str">
        <f t="shared" si="5"/>
        <v>Medium</v>
      </c>
      <c r="S63" s="5" t="str">
        <f t="shared" si="3"/>
        <v>Completed</v>
      </c>
      <c r="T63" s="5" t="str">
        <f t="shared" si="4"/>
        <v>Yes</v>
      </c>
    </row>
    <row r="64" spans="1:20" x14ac:dyDescent="0.35">
      <c r="A64" t="s">
        <v>76</v>
      </c>
      <c r="B64" s="2">
        <v>45160</v>
      </c>
      <c r="C64" t="s">
        <v>1276</v>
      </c>
      <c r="D64" t="s">
        <v>2409</v>
      </c>
      <c r="E64">
        <v>2</v>
      </c>
      <c r="F64">
        <v>43.15</v>
      </c>
      <c r="G64" t="s">
        <v>2468</v>
      </c>
      <c r="H64" t="s">
        <v>3065</v>
      </c>
      <c r="I64" t="s">
        <v>3074</v>
      </c>
      <c r="J64" t="s">
        <v>3137</v>
      </c>
      <c r="K64">
        <v>3</v>
      </c>
      <c r="L64" t="s">
        <v>4277</v>
      </c>
      <c r="M64" t="s">
        <v>4280</v>
      </c>
      <c r="N64">
        <v>86.3</v>
      </c>
      <c r="O64">
        <f t="shared" si="0"/>
        <v>86.3</v>
      </c>
      <c r="P64" t="str">
        <f t="shared" si="1"/>
        <v>Aug</v>
      </c>
      <c r="Q64" t="str">
        <f t="shared" si="2"/>
        <v>Q3</v>
      </c>
      <c r="R64" s="5" t="str">
        <f t="shared" si="5"/>
        <v>Small</v>
      </c>
      <c r="S64" s="5" t="str">
        <f t="shared" si="3"/>
        <v>Pending</v>
      </c>
      <c r="T64" s="5" t="str">
        <f t="shared" si="4"/>
        <v>Yes</v>
      </c>
    </row>
    <row r="65" spans="1:20" x14ac:dyDescent="0.35">
      <c r="A65" t="s">
        <v>77</v>
      </c>
      <c r="B65" s="2">
        <v>45690</v>
      </c>
      <c r="C65" t="s">
        <v>1277</v>
      </c>
      <c r="D65" t="s">
        <v>2406</v>
      </c>
      <c r="E65">
        <v>1</v>
      </c>
      <c r="F65">
        <v>564.86</v>
      </c>
      <c r="G65" t="s">
        <v>2469</v>
      </c>
      <c r="H65" t="s">
        <v>3065</v>
      </c>
      <c r="I65" t="s">
        <v>3070</v>
      </c>
      <c r="J65" t="s">
        <v>3138</v>
      </c>
      <c r="K65">
        <v>6</v>
      </c>
      <c r="L65" t="s">
        <v>4277</v>
      </c>
      <c r="M65" t="s">
        <v>4279</v>
      </c>
      <c r="N65">
        <v>564.86</v>
      </c>
      <c r="O65">
        <f t="shared" si="0"/>
        <v>564.86</v>
      </c>
      <c r="P65" t="str">
        <f t="shared" si="1"/>
        <v>Feb</v>
      </c>
      <c r="Q65" t="str">
        <f t="shared" si="2"/>
        <v>Q1</v>
      </c>
      <c r="R65" s="5" t="str">
        <f t="shared" si="5"/>
        <v>Large</v>
      </c>
      <c r="S65" s="5" t="str">
        <f t="shared" si="3"/>
        <v>Pending</v>
      </c>
      <c r="T65" s="5" t="str">
        <f t="shared" si="4"/>
        <v>Yes</v>
      </c>
    </row>
    <row r="66" spans="1:20"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c r="O66">
        <f t="shared" ref="O66:O129" si="6">E66*F66</f>
        <v>391.83000000000004</v>
      </c>
      <c r="P66" t="str">
        <f t="shared" ref="P66:P129" si="7">TEXT(B66, "mmm")</f>
        <v>Jun</v>
      </c>
      <c r="Q66" t="str">
        <f t="shared" ref="Q66:Q129" si="8">"Q"&amp;ROUNDUP(MONTH(B66)/3,0)</f>
        <v>Q2</v>
      </c>
      <c r="R66" s="5" t="str">
        <f t="shared" ref="R66:R129" si="9">IF(N66&lt;100,"Small", IF(N66&lt;500, "Medium", "Large"))</f>
        <v>Medium</v>
      </c>
      <c r="S66" s="5" t="str">
        <f t="shared" ref="S66:S129" si="10">IF(I66="Delivered","Completed","Pending")</f>
        <v>Pending</v>
      </c>
      <c r="T66" s="5" t="str">
        <f t="shared" ref="T66:T129" si="11">IF(L66="","No", "Yes")</f>
        <v>Yes</v>
      </c>
    </row>
    <row r="67" spans="1:20" x14ac:dyDescent="0.35">
      <c r="A67" t="s">
        <v>79</v>
      </c>
      <c r="B67" s="2">
        <v>45290</v>
      </c>
      <c r="C67" t="s">
        <v>1279</v>
      </c>
      <c r="D67" t="s">
        <v>2403</v>
      </c>
      <c r="E67">
        <v>5</v>
      </c>
      <c r="F67">
        <v>81.7</v>
      </c>
      <c r="G67" t="s">
        <v>2471</v>
      </c>
      <c r="H67" t="s">
        <v>3067</v>
      </c>
      <c r="I67" t="s">
        <v>3073</v>
      </c>
      <c r="J67" t="s">
        <v>3140</v>
      </c>
      <c r="K67">
        <v>6</v>
      </c>
      <c r="L67" t="s">
        <v>4329</v>
      </c>
      <c r="M67" t="s">
        <v>4278</v>
      </c>
      <c r="N67">
        <v>408.5</v>
      </c>
      <c r="O67">
        <f t="shared" si="6"/>
        <v>408.5</v>
      </c>
      <c r="P67" t="str">
        <f t="shared" si="7"/>
        <v>Dec</v>
      </c>
      <c r="Q67" t="str">
        <f t="shared" si="8"/>
        <v>Q4</v>
      </c>
      <c r="R67" s="5" t="str">
        <f t="shared" si="9"/>
        <v>Medium</v>
      </c>
      <c r="S67" s="5" t="str">
        <f t="shared" si="10"/>
        <v>Completed</v>
      </c>
      <c r="T67" s="5" t="str">
        <f t="shared" si="11"/>
        <v>Yes</v>
      </c>
    </row>
    <row r="68" spans="1:20"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c r="O68">
        <f t="shared" si="6"/>
        <v>635.90000000000009</v>
      </c>
      <c r="P68" t="str">
        <f t="shared" si="7"/>
        <v>Nov</v>
      </c>
      <c r="Q68" t="str">
        <f t="shared" si="8"/>
        <v>Q4</v>
      </c>
      <c r="R68" s="5" t="str">
        <f t="shared" si="9"/>
        <v>Large</v>
      </c>
      <c r="S68" s="5" t="str">
        <f t="shared" si="10"/>
        <v>Pending</v>
      </c>
      <c r="T68" s="5" t="str">
        <f t="shared" si="11"/>
        <v>Yes</v>
      </c>
    </row>
    <row r="69" spans="1:20" x14ac:dyDescent="0.35">
      <c r="A69" t="s">
        <v>81</v>
      </c>
      <c r="B69" s="2">
        <v>45635</v>
      </c>
      <c r="C69" t="s">
        <v>1281</v>
      </c>
      <c r="D69" t="s">
        <v>2407</v>
      </c>
      <c r="E69">
        <v>4</v>
      </c>
      <c r="F69">
        <v>12.1</v>
      </c>
      <c r="G69" t="s">
        <v>2473</v>
      </c>
      <c r="H69" t="s">
        <v>3065</v>
      </c>
      <c r="I69" t="s">
        <v>3071</v>
      </c>
      <c r="J69" t="s">
        <v>3142</v>
      </c>
      <c r="K69">
        <v>8</v>
      </c>
      <c r="L69" t="s">
        <v>4329</v>
      </c>
      <c r="M69" t="s">
        <v>4282</v>
      </c>
      <c r="N69">
        <v>48.4</v>
      </c>
      <c r="O69">
        <f t="shared" si="6"/>
        <v>48.4</v>
      </c>
      <c r="P69" t="str">
        <f t="shared" si="7"/>
        <v>Dec</v>
      </c>
      <c r="Q69" t="str">
        <f t="shared" si="8"/>
        <v>Q4</v>
      </c>
      <c r="R69" s="5" t="str">
        <f t="shared" si="9"/>
        <v>Small</v>
      </c>
      <c r="S69" s="5" t="str">
        <f t="shared" si="10"/>
        <v>Pending</v>
      </c>
      <c r="T69" s="5" t="str">
        <f t="shared" si="11"/>
        <v>Yes</v>
      </c>
    </row>
    <row r="70" spans="1:20" x14ac:dyDescent="0.35">
      <c r="A70" t="s">
        <v>82</v>
      </c>
      <c r="B70" s="2">
        <v>45271</v>
      </c>
      <c r="C70" t="s">
        <v>1282</v>
      </c>
      <c r="D70" t="s">
        <v>2406</v>
      </c>
      <c r="E70">
        <v>3</v>
      </c>
      <c r="F70">
        <v>490.92</v>
      </c>
      <c r="G70" t="s">
        <v>2435</v>
      </c>
      <c r="H70" t="s">
        <v>3067</v>
      </c>
      <c r="I70" t="s">
        <v>3074</v>
      </c>
      <c r="J70" t="s">
        <v>3143</v>
      </c>
      <c r="K70">
        <v>5</v>
      </c>
      <c r="L70" t="s">
        <v>4276</v>
      </c>
      <c r="M70" t="s">
        <v>4280</v>
      </c>
      <c r="N70">
        <v>1472.76</v>
      </c>
      <c r="O70">
        <f t="shared" si="6"/>
        <v>1472.76</v>
      </c>
      <c r="P70" t="str">
        <f t="shared" si="7"/>
        <v>Dec</v>
      </c>
      <c r="Q70" t="str">
        <f t="shared" si="8"/>
        <v>Q4</v>
      </c>
      <c r="R70" s="5" t="str">
        <f t="shared" si="9"/>
        <v>Large</v>
      </c>
      <c r="S70" s="5" t="str">
        <f t="shared" si="10"/>
        <v>Pending</v>
      </c>
      <c r="T70" s="5" t="str">
        <f t="shared" si="11"/>
        <v>Yes</v>
      </c>
    </row>
    <row r="71" spans="1:20" x14ac:dyDescent="0.35">
      <c r="A71" t="s">
        <v>83</v>
      </c>
      <c r="B71" s="2">
        <v>45057</v>
      </c>
      <c r="C71" t="s">
        <v>1283</v>
      </c>
      <c r="D71" t="s">
        <v>2403</v>
      </c>
      <c r="E71">
        <v>3</v>
      </c>
      <c r="F71">
        <v>478.65</v>
      </c>
      <c r="G71" t="s">
        <v>2474</v>
      </c>
      <c r="H71" t="s">
        <v>3066</v>
      </c>
      <c r="I71" t="s">
        <v>3070</v>
      </c>
      <c r="J71" t="s">
        <v>3144</v>
      </c>
      <c r="K71">
        <v>4</v>
      </c>
      <c r="L71" t="s">
        <v>4329</v>
      </c>
      <c r="M71" t="s">
        <v>4279</v>
      </c>
      <c r="N71">
        <v>1435.95</v>
      </c>
      <c r="O71">
        <f t="shared" si="6"/>
        <v>1435.9499999999998</v>
      </c>
      <c r="P71" t="str">
        <f t="shared" si="7"/>
        <v>May</v>
      </c>
      <c r="Q71" t="str">
        <f t="shared" si="8"/>
        <v>Q2</v>
      </c>
      <c r="R71" s="5" t="str">
        <f t="shared" si="9"/>
        <v>Large</v>
      </c>
      <c r="S71" s="5" t="str">
        <f t="shared" si="10"/>
        <v>Pending</v>
      </c>
      <c r="T71" s="5" t="str">
        <f t="shared" si="11"/>
        <v>Yes</v>
      </c>
    </row>
    <row r="72" spans="1:20" x14ac:dyDescent="0.35">
      <c r="A72" t="s">
        <v>84</v>
      </c>
      <c r="B72" s="2">
        <v>45072</v>
      </c>
      <c r="C72" t="s">
        <v>1284</v>
      </c>
      <c r="D72" t="s">
        <v>2409</v>
      </c>
      <c r="E72">
        <v>1</v>
      </c>
      <c r="F72">
        <v>629.21</v>
      </c>
      <c r="G72" t="s">
        <v>2475</v>
      </c>
      <c r="H72" t="s">
        <v>3068</v>
      </c>
      <c r="I72" t="s">
        <v>3074</v>
      </c>
      <c r="J72" t="s">
        <v>3145</v>
      </c>
      <c r="K72">
        <v>2</v>
      </c>
      <c r="L72" t="s">
        <v>4276</v>
      </c>
      <c r="M72" t="s">
        <v>4278</v>
      </c>
      <c r="N72">
        <v>629.21</v>
      </c>
      <c r="O72">
        <f t="shared" si="6"/>
        <v>629.21</v>
      </c>
      <c r="P72" t="str">
        <f t="shared" si="7"/>
        <v>May</v>
      </c>
      <c r="Q72" t="str">
        <f t="shared" si="8"/>
        <v>Q2</v>
      </c>
      <c r="R72" s="5" t="str">
        <f t="shared" si="9"/>
        <v>Large</v>
      </c>
      <c r="S72" s="5" t="str">
        <f t="shared" si="10"/>
        <v>Pending</v>
      </c>
      <c r="T72" s="5" t="str">
        <f t="shared" si="11"/>
        <v>Yes</v>
      </c>
    </row>
    <row r="73" spans="1:20" x14ac:dyDescent="0.35">
      <c r="A73" t="s">
        <v>85</v>
      </c>
      <c r="B73" s="2">
        <v>45818</v>
      </c>
      <c r="C73" t="s">
        <v>1285</v>
      </c>
      <c r="D73" t="s">
        <v>2403</v>
      </c>
      <c r="E73">
        <v>3</v>
      </c>
      <c r="F73">
        <v>434.45</v>
      </c>
      <c r="G73" t="s">
        <v>2476</v>
      </c>
      <c r="H73" t="s">
        <v>3067</v>
      </c>
      <c r="I73" t="s">
        <v>3074</v>
      </c>
      <c r="J73" t="s">
        <v>3146</v>
      </c>
      <c r="K73">
        <v>4</v>
      </c>
      <c r="L73" t="s">
        <v>4329</v>
      </c>
      <c r="M73" t="s">
        <v>4279</v>
      </c>
      <c r="N73">
        <v>1303.3499999999999</v>
      </c>
      <c r="O73">
        <f t="shared" si="6"/>
        <v>1303.3499999999999</v>
      </c>
      <c r="P73" t="str">
        <f t="shared" si="7"/>
        <v>Jun</v>
      </c>
      <c r="Q73" t="str">
        <f t="shared" si="8"/>
        <v>Q2</v>
      </c>
      <c r="R73" s="5" t="str">
        <f t="shared" si="9"/>
        <v>Large</v>
      </c>
      <c r="S73" s="5" t="str">
        <f t="shared" si="10"/>
        <v>Pending</v>
      </c>
      <c r="T73" s="5" t="str">
        <f t="shared" si="11"/>
        <v>Yes</v>
      </c>
    </row>
    <row r="74" spans="1:20" x14ac:dyDescent="0.35">
      <c r="A74" t="s">
        <v>86</v>
      </c>
      <c r="B74" s="2">
        <v>45648</v>
      </c>
      <c r="C74" t="s">
        <v>1286</v>
      </c>
      <c r="D74" t="s">
        <v>2405</v>
      </c>
      <c r="E74">
        <v>4</v>
      </c>
      <c r="F74">
        <v>589.44000000000005</v>
      </c>
      <c r="G74" t="s">
        <v>2425</v>
      </c>
      <c r="H74" t="s">
        <v>3068</v>
      </c>
      <c r="I74" t="s">
        <v>3072</v>
      </c>
      <c r="J74" t="s">
        <v>3147</v>
      </c>
      <c r="K74">
        <v>5</v>
      </c>
      <c r="L74" t="s">
        <v>4329</v>
      </c>
      <c r="M74" t="s">
        <v>4281</v>
      </c>
      <c r="N74">
        <v>2357.7600000000002</v>
      </c>
      <c r="O74">
        <f t="shared" si="6"/>
        <v>2357.7600000000002</v>
      </c>
      <c r="P74" t="str">
        <f t="shared" si="7"/>
        <v>Dec</v>
      </c>
      <c r="Q74" t="str">
        <f t="shared" si="8"/>
        <v>Q4</v>
      </c>
      <c r="R74" s="5" t="str">
        <f t="shared" si="9"/>
        <v>Large</v>
      </c>
      <c r="S74" s="5" t="str">
        <f t="shared" si="10"/>
        <v>Pending</v>
      </c>
      <c r="T74" s="5" t="str">
        <f t="shared" si="11"/>
        <v>Yes</v>
      </c>
    </row>
    <row r="75" spans="1:20" x14ac:dyDescent="0.35">
      <c r="A75" t="s">
        <v>87</v>
      </c>
      <c r="B75" s="2">
        <v>45049</v>
      </c>
      <c r="C75" t="s">
        <v>1287</v>
      </c>
      <c r="D75" t="s">
        <v>2403</v>
      </c>
      <c r="E75">
        <v>4</v>
      </c>
      <c r="F75">
        <v>433.45</v>
      </c>
      <c r="G75" t="s">
        <v>2477</v>
      </c>
      <c r="H75" t="s">
        <v>3068</v>
      </c>
      <c r="I75" t="s">
        <v>3071</v>
      </c>
      <c r="J75" t="s">
        <v>3148</v>
      </c>
      <c r="K75">
        <v>4</v>
      </c>
      <c r="L75" t="s">
        <v>4329</v>
      </c>
      <c r="M75" t="s">
        <v>4281</v>
      </c>
      <c r="N75">
        <v>1733.8</v>
      </c>
      <c r="O75">
        <f t="shared" si="6"/>
        <v>1733.8</v>
      </c>
      <c r="P75" t="str">
        <f t="shared" si="7"/>
        <v>May</v>
      </c>
      <c r="Q75" t="str">
        <f t="shared" si="8"/>
        <v>Q2</v>
      </c>
      <c r="R75" s="5" t="str">
        <f t="shared" si="9"/>
        <v>Large</v>
      </c>
      <c r="S75" s="5" t="str">
        <f t="shared" si="10"/>
        <v>Pending</v>
      </c>
      <c r="T75" s="5" t="str">
        <f t="shared" si="11"/>
        <v>Yes</v>
      </c>
    </row>
    <row r="76" spans="1:20" x14ac:dyDescent="0.35">
      <c r="A76" t="s">
        <v>88</v>
      </c>
      <c r="B76" s="2">
        <v>45101</v>
      </c>
      <c r="C76" t="s">
        <v>1288</v>
      </c>
      <c r="D76" t="s">
        <v>2404</v>
      </c>
      <c r="E76">
        <v>5</v>
      </c>
      <c r="F76">
        <v>90.87</v>
      </c>
      <c r="G76" t="s">
        <v>2478</v>
      </c>
      <c r="H76" t="s">
        <v>3069</v>
      </c>
      <c r="I76" t="s">
        <v>3074</v>
      </c>
      <c r="J76" t="s">
        <v>3149</v>
      </c>
      <c r="K76">
        <v>5</v>
      </c>
      <c r="L76" t="s">
        <v>4329</v>
      </c>
      <c r="M76" t="s">
        <v>4278</v>
      </c>
      <c r="N76">
        <v>454.35</v>
      </c>
      <c r="O76">
        <f t="shared" si="6"/>
        <v>454.35</v>
      </c>
      <c r="P76" t="str">
        <f t="shared" si="7"/>
        <v>Jun</v>
      </c>
      <c r="Q76" t="str">
        <f t="shared" si="8"/>
        <v>Q2</v>
      </c>
      <c r="R76" s="5" t="str">
        <f t="shared" si="9"/>
        <v>Medium</v>
      </c>
      <c r="S76" s="5" t="str">
        <f t="shared" si="10"/>
        <v>Pending</v>
      </c>
      <c r="T76" s="5" t="str">
        <f t="shared" si="11"/>
        <v>Yes</v>
      </c>
    </row>
    <row r="77" spans="1:20" x14ac:dyDescent="0.35">
      <c r="A77" t="s">
        <v>89</v>
      </c>
      <c r="B77" s="2">
        <v>45195</v>
      </c>
      <c r="C77" t="s">
        <v>1289</v>
      </c>
      <c r="D77" t="s">
        <v>2405</v>
      </c>
      <c r="E77">
        <v>3</v>
      </c>
      <c r="F77">
        <v>398.17</v>
      </c>
      <c r="G77" t="s">
        <v>2479</v>
      </c>
      <c r="H77" t="s">
        <v>3065</v>
      </c>
      <c r="I77" t="s">
        <v>3073</v>
      </c>
      <c r="J77" t="s">
        <v>3150</v>
      </c>
      <c r="K77">
        <v>5</v>
      </c>
      <c r="L77" t="s">
        <v>4275</v>
      </c>
      <c r="M77" t="s">
        <v>4280</v>
      </c>
      <c r="N77">
        <v>1194.51</v>
      </c>
      <c r="O77">
        <f t="shared" si="6"/>
        <v>1194.51</v>
      </c>
      <c r="P77" t="str">
        <f t="shared" si="7"/>
        <v>Sep</v>
      </c>
      <c r="Q77" t="str">
        <f t="shared" si="8"/>
        <v>Q3</v>
      </c>
      <c r="R77" s="5" t="str">
        <f t="shared" si="9"/>
        <v>Large</v>
      </c>
      <c r="S77" s="5" t="str">
        <f t="shared" si="10"/>
        <v>Completed</v>
      </c>
      <c r="T77" s="5" t="str">
        <f t="shared" si="11"/>
        <v>Yes</v>
      </c>
    </row>
    <row r="78" spans="1:20" x14ac:dyDescent="0.35">
      <c r="A78" t="s">
        <v>90</v>
      </c>
      <c r="B78" s="2">
        <v>45382</v>
      </c>
      <c r="C78" t="s">
        <v>1290</v>
      </c>
      <c r="D78" t="s">
        <v>2408</v>
      </c>
      <c r="E78">
        <v>4</v>
      </c>
      <c r="F78">
        <v>382.88</v>
      </c>
      <c r="G78" t="s">
        <v>2480</v>
      </c>
      <c r="H78" t="s">
        <v>3069</v>
      </c>
      <c r="I78" t="s">
        <v>3071</v>
      </c>
      <c r="J78" t="s">
        <v>3151</v>
      </c>
      <c r="K78">
        <v>6</v>
      </c>
      <c r="L78" t="s">
        <v>4277</v>
      </c>
      <c r="M78" t="s">
        <v>4280</v>
      </c>
      <c r="N78">
        <v>1531.52</v>
      </c>
      <c r="O78">
        <f t="shared" si="6"/>
        <v>1531.52</v>
      </c>
      <c r="P78" t="str">
        <f t="shared" si="7"/>
        <v>Mar</v>
      </c>
      <c r="Q78" t="str">
        <f t="shared" si="8"/>
        <v>Q1</v>
      </c>
      <c r="R78" s="5" t="str">
        <f t="shared" si="9"/>
        <v>Large</v>
      </c>
      <c r="S78" s="5" t="str">
        <f t="shared" si="10"/>
        <v>Pending</v>
      </c>
      <c r="T78" s="5" t="str">
        <f t="shared" si="11"/>
        <v>Yes</v>
      </c>
    </row>
    <row r="79" spans="1:20" x14ac:dyDescent="0.35">
      <c r="A79" t="s">
        <v>91</v>
      </c>
      <c r="B79" s="2">
        <v>45436</v>
      </c>
      <c r="C79" t="s">
        <v>1291</v>
      </c>
      <c r="D79" t="s">
        <v>2404</v>
      </c>
      <c r="E79">
        <v>1</v>
      </c>
      <c r="F79">
        <v>583.17999999999995</v>
      </c>
      <c r="G79" t="s">
        <v>2481</v>
      </c>
      <c r="H79" t="s">
        <v>3067</v>
      </c>
      <c r="I79" t="s">
        <v>3072</v>
      </c>
      <c r="J79" t="s">
        <v>3152</v>
      </c>
      <c r="K79">
        <v>5</v>
      </c>
      <c r="L79" t="s">
        <v>4329</v>
      </c>
      <c r="M79" t="s">
        <v>4282</v>
      </c>
      <c r="N79">
        <v>583.17999999999995</v>
      </c>
      <c r="O79">
        <f t="shared" si="6"/>
        <v>583.17999999999995</v>
      </c>
      <c r="P79" t="str">
        <f t="shared" si="7"/>
        <v>May</v>
      </c>
      <c r="Q79" t="str">
        <f t="shared" si="8"/>
        <v>Q2</v>
      </c>
      <c r="R79" s="5" t="str">
        <f t="shared" si="9"/>
        <v>Large</v>
      </c>
      <c r="S79" s="5" t="str">
        <f t="shared" si="10"/>
        <v>Pending</v>
      </c>
      <c r="T79" s="5" t="str">
        <f t="shared" si="11"/>
        <v>Yes</v>
      </c>
    </row>
    <row r="80" spans="1:20" x14ac:dyDescent="0.35">
      <c r="A80" t="s">
        <v>92</v>
      </c>
      <c r="B80" s="2">
        <v>45510</v>
      </c>
      <c r="C80" t="s">
        <v>1292</v>
      </c>
      <c r="D80" t="s">
        <v>2407</v>
      </c>
      <c r="E80">
        <v>4</v>
      </c>
      <c r="F80">
        <v>175.36</v>
      </c>
      <c r="G80" t="s">
        <v>2482</v>
      </c>
      <c r="H80" t="s">
        <v>3065</v>
      </c>
      <c r="I80" t="s">
        <v>3073</v>
      </c>
      <c r="J80" t="s">
        <v>3153</v>
      </c>
      <c r="K80">
        <v>4</v>
      </c>
      <c r="L80" t="s">
        <v>4276</v>
      </c>
      <c r="M80" t="s">
        <v>4278</v>
      </c>
      <c r="N80">
        <v>701.44</v>
      </c>
      <c r="O80">
        <f t="shared" si="6"/>
        <v>701.44</v>
      </c>
      <c r="P80" t="str">
        <f t="shared" si="7"/>
        <v>Aug</v>
      </c>
      <c r="Q80" t="str">
        <f t="shared" si="8"/>
        <v>Q3</v>
      </c>
      <c r="R80" s="5" t="str">
        <f t="shared" si="9"/>
        <v>Large</v>
      </c>
      <c r="S80" s="5" t="str">
        <f t="shared" si="10"/>
        <v>Completed</v>
      </c>
      <c r="T80" s="5" t="str">
        <f t="shared" si="11"/>
        <v>Yes</v>
      </c>
    </row>
    <row r="81" spans="1:20" x14ac:dyDescent="0.35">
      <c r="A81" t="s">
        <v>93</v>
      </c>
      <c r="B81" s="2">
        <v>45726</v>
      </c>
      <c r="C81" t="s">
        <v>1293</v>
      </c>
      <c r="D81" t="s">
        <v>2405</v>
      </c>
      <c r="E81">
        <v>2</v>
      </c>
      <c r="F81">
        <v>311.91000000000003</v>
      </c>
      <c r="G81" t="s">
        <v>2483</v>
      </c>
      <c r="H81" t="s">
        <v>3066</v>
      </c>
      <c r="I81" t="s">
        <v>3070</v>
      </c>
      <c r="J81" t="s">
        <v>3154</v>
      </c>
      <c r="K81">
        <v>2</v>
      </c>
      <c r="L81" t="s">
        <v>4329</v>
      </c>
      <c r="M81" t="s">
        <v>4281</v>
      </c>
      <c r="N81">
        <v>623.82000000000005</v>
      </c>
      <c r="O81">
        <f t="shared" si="6"/>
        <v>623.82000000000005</v>
      </c>
      <c r="P81" t="str">
        <f t="shared" si="7"/>
        <v>Mar</v>
      </c>
      <c r="Q81" t="str">
        <f t="shared" si="8"/>
        <v>Q1</v>
      </c>
      <c r="R81" s="5" t="str">
        <f t="shared" si="9"/>
        <v>Large</v>
      </c>
      <c r="S81" s="5" t="str">
        <f t="shared" si="10"/>
        <v>Pending</v>
      </c>
      <c r="T81" s="5" t="str">
        <f t="shared" si="11"/>
        <v>Yes</v>
      </c>
    </row>
    <row r="82" spans="1:20" x14ac:dyDescent="0.35">
      <c r="A82" t="s">
        <v>94</v>
      </c>
      <c r="B82" s="2">
        <v>45104</v>
      </c>
      <c r="C82" t="s">
        <v>1294</v>
      </c>
      <c r="D82" t="s">
        <v>2404</v>
      </c>
      <c r="E82">
        <v>3</v>
      </c>
      <c r="F82">
        <v>589.55999999999995</v>
      </c>
      <c r="G82" t="s">
        <v>2484</v>
      </c>
      <c r="H82" t="s">
        <v>3066</v>
      </c>
      <c r="I82" t="s">
        <v>3072</v>
      </c>
      <c r="J82" t="s">
        <v>3155</v>
      </c>
      <c r="K82">
        <v>6</v>
      </c>
      <c r="L82" t="s">
        <v>4329</v>
      </c>
      <c r="M82" t="s">
        <v>4281</v>
      </c>
      <c r="N82">
        <v>1768.68</v>
      </c>
      <c r="O82">
        <f t="shared" si="6"/>
        <v>1768.6799999999998</v>
      </c>
      <c r="P82" t="str">
        <f t="shared" si="7"/>
        <v>Jun</v>
      </c>
      <c r="Q82" t="str">
        <f t="shared" si="8"/>
        <v>Q2</v>
      </c>
      <c r="R82" s="5" t="str">
        <f t="shared" si="9"/>
        <v>Large</v>
      </c>
      <c r="S82" s="5" t="str">
        <f t="shared" si="10"/>
        <v>Pending</v>
      </c>
      <c r="T82" s="5" t="str">
        <f t="shared" si="11"/>
        <v>Yes</v>
      </c>
    </row>
    <row r="83" spans="1:20" x14ac:dyDescent="0.35">
      <c r="A83" t="s">
        <v>95</v>
      </c>
      <c r="B83" s="2">
        <v>45085</v>
      </c>
      <c r="C83" t="s">
        <v>1295</v>
      </c>
      <c r="D83" t="s">
        <v>2403</v>
      </c>
      <c r="E83">
        <v>2</v>
      </c>
      <c r="F83">
        <v>394.3</v>
      </c>
      <c r="G83" t="s">
        <v>2485</v>
      </c>
      <c r="H83" t="s">
        <v>3069</v>
      </c>
      <c r="I83" t="s">
        <v>3070</v>
      </c>
      <c r="J83" t="s">
        <v>3156</v>
      </c>
      <c r="K83">
        <v>6</v>
      </c>
      <c r="L83" t="s">
        <v>4276</v>
      </c>
      <c r="M83" t="s">
        <v>4280</v>
      </c>
      <c r="N83">
        <v>788.6</v>
      </c>
      <c r="O83">
        <f t="shared" si="6"/>
        <v>788.6</v>
      </c>
      <c r="P83" t="str">
        <f t="shared" si="7"/>
        <v>Jun</v>
      </c>
      <c r="Q83" t="str">
        <f t="shared" si="8"/>
        <v>Q2</v>
      </c>
      <c r="R83" s="5" t="str">
        <f t="shared" si="9"/>
        <v>Large</v>
      </c>
      <c r="S83" s="5" t="str">
        <f t="shared" si="10"/>
        <v>Pending</v>
      </c>
      <c r="T83" s="5" t="str">
        <f t="shared" si="11"/>
        <v>Yes</v>
      </c>
    </row>
    <row r="84" spans="1:20"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c r="O84">
        <f t="shared" si="6"/>
        <v>2260.8000000000002</v>
      </c>
      <c r="P84" t="str">
        <f t="shared" si="7"/>
        <v>Jan</v>
      </c>
      <c r="Q84" t="str">
        <f t="shared" si="8"/>
        <v>Q1</v>
      </c>
      <c r="R84" s="5" t="str">
        <f t="shared" si="9"/>
        <v>Large</v>
      </c>
      <c r="S84" s="5" t="str">
        <f t="shared" si="10"/>
        <v>Pending</v>
      </c>
      <c r="T84" s="5" t="str">
        <f t="shared" si="11"/>
        <v>Yes</v>
      </c>
    </row>
    <row r="85" spans="1:20" x14ac:dyDescent="0.35">
      <c r="A85" t="s">
        <v>97</v>
      </c>
      <c r="B85" s="2">
        <v>45160</v>
      </c>
      <c r="C85" t="s">
        <v>1297</v>
      </c>
      <c r="D85" t="s">
        <v>2408</v>
      </c>
      <c r="E85">
        <v>4</v>
      </c>
      <c r="F85">
        <v>540.41</v>
      </c>
      <c r="G85" t="s">
        <v>2487</v>
      </c>
      <c r="H85" t="s">
        <v>3067</v>
      </c>
      <c r="I85" t="s">
        <v>3071</v>
      </c>
      <c r="J85" t="s">
        <v>3158</v>
      </c>
      <c r="K85">
        <v>6</v>
      </c>
      <c r="L85" t="s">
        <v>4329</v>
      </c>
      <c r="M85" t="s">
        <v>4279</v>
      </c>
      <c r="N85">
        <v>2161.64</v>
      </c>
      <c r="O85">
        <f t="shared" si="6"/>
        <v>2161.64</v>
      </c>
      <c r="P85" t="str">
        <f t="shared" si="7"/>
        <v>Aug</v>
      </c>
      <c r="Q85" t="str">
        <f t="shared" si="8"/>
        <v>Q3</v>
      </c>
      <c r="R85" s="5" t="str">
        <f t="shared" si="9"/>
        <v>Large</v>
      </c>
      <c r="S85" s="5" t="str">
        <f t="shared" si="10"/>
        <v>Pending</v>
      </c>
      <c r="T85" s="5" t="str">
        <f t="shared" si="11"/>
        <v>Yes</v>
      </c>
    </row>
    <row r="86" spans="1:20" x14ac:dyDescent="0.35">
      <c r="A86" t="s">
        <v>98</v>
      </c>
      <c r="B86" s="2">
        <v>45166</v>
      </c>
      <c r="C86" t="s">
        <v>1298</v>
      </c>
      <c r="D86" t="s">
        <v>2403</v>
      </c>
      <c r="E86">
        <v>2</v>
      </c>
      <c r="F86">
        <v>165.49</v>
      </c>
      <c r="G86" t="s">
        <v>2488</v>
      </c>
      <c r="H86" t="s">
        <v>3066</v>
      </c>
      <c r="I86" t="s">
        <v>3070</v>
      </c>
      <c r="J86" t="s">
        <v>3159</v>
      </c>
      <c r="K86">
        <v>4</v>
      </c>
      <c r="L86" t="s">
        <v>4277</v>
      </c>
      <c r="M86" t="s">
        <v>4278</v>
      </c>
      <c r="N86">
        <v>330.98</v>
      </c>
      <c r="O86">
        <f t="shared" si="6"/>
        <v>330.98</v>
      </c>
      <c r="P86" t="str">
        <f t="shared" si="7"/>
        <v>Aug</v>
      </c>
      <c r="Q86" t="str">
        <f t="shared" si="8"/>
        <v>Q3</v>
      </c>
      <c r="R86" s="5" t="str">
        <f t="shared" si="9"/>
        <v>Medium</v>
      </c>
      <c r="S86" s="5" t="str">
        <f t="shared" si="10"/>
        <v>Pending</v>
      </c>
      <c r="T86" s="5" t="str">
        <f t="shared" si="11"/>
        <v>Yes</v>
      </c>
    </row>
    <row r="87" spans="1:20"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c r="O87">
        <f t="shared" si="6"/>
        <v>440.18999999999994</v>
      </c>
      <c r="P87" t="str">
        <f t="shared" si="7"/>
        <v>Sep</v>
      </c>
      <c r="Q87" t="str">
        <f t="shared" si="8"/>
        <v>Q3</v>
      </c>
      <c r="R87" s="5" t="str">
        <f t="shared" si="9"/>
        <v>Medium</v>
      </c>
      <c r="S87" s="5" t="str">
        <f t="shared" si="10"/>
        <v>Completed</v>
      </c>
      <c r="T87" s="5" t="str">
        <f t="shared" si="11"/>
        <v>Yes</v>
      </c>
    </row>
    <row r="88" spans="1:20" x14ac:dyDescent="0.35">
      <c r="A88" t="s">
        <v>100</v>
      </c>
      <c r="B88" s="2">
        <v>45462</v>
      </c>
      <c r="C88" t="s">
        <v>1300</v>
      </c>
      <c r="D88" t="s">
        <v>2407</v>
      </c>
      <c r="E88">
        <v>5</v>
      </c>
      <c r="F88">
        <v>643.03</v>
      </c>
      <c r="G88" t="s">
        <v>2490</v>
      </c>
      <c r="H88" t="s">
        <v>3066</v>
      </c>
      <c r="I88" t="s">
        <v>3071</v>
      </c>
      <c r="J88" t="s">
        <v>3161</v>
      </c>
      <c r="K88">
        <v>5</v>
      </c>
      <c r="L88" t="s">
        <v>4276</v>
      </c>
      <c r="M88" t="s">
        <v>4279</v>
      </c>
      <c r="N88">
        <v>3215.15</v>
      </c>
      <c r="O88">
        <f t="shared" si="6"/>
        <v>3215.1499999999996</v>
      </c>
      <c r="P88" t="str">
        <f t="shared" si="7"/>
        <v>Jun</v>
      </c>
      <c r="Q88" t="str">
        <f t="shared" si="8"/>
        <v>Q2</v>
      </c>
      <c r="R88" s="5" t="str">
        <f t="shared" si="9"/>
        <v>Large</v>
      </c>
      <c r="S88" s="5" t="str">
        <f t="shared" si="10"/>
        <v>Pending</v>
      </c>
      <c r="T88" s="5" t="str">
        <f t="shared" si="11"/>
        <v>Yes</v>
      </c>
    </row>
    <row r="89" spans="1:20" x14ac:dyDescent="0.35">
      <c r="A89" t="s">
        <v>101</v>
      </c>
      <c r="B89" s="2">
        <v>45575</v>
      </c>
      <c r="C89" t="s">
        <v>1301</v>
      </c>
      <c r="D89" t="s">
        <v>2405</v>
      </c>
      <c r="E89">
        <v>3</v>
      </c>
      <c r="F89">
        <v>225.11</v>
      </c>
      <c r="G89" t="s">
        <v>2491</v>
      </c>
      <c r="H89" t="s">
        <v>3069</v>
      </c>
      <c r="I89" t="s">
        <v>3070</v>
      </c>
      <c r="J89" t="s">
        <v>3162</v>
      </c>
      <c r="K89">
        <v>4</v>
      </c>
      <c r="L89" t="s">
        <v>4275</v>
      </c>
      <c r="M89" t="s">
        <v>4281</v>
      </c>
      <c r="N89">
        <v>675.33</v>
      </c>
      <c r="O89">
        <f t="shared" si="6"/>
        <v>675.33</v>
      </c>
      <c r="P89" t="str">
        <f t="shared" si="7"/>
        <v>Oct</v>
      </c>
      <c r="Q89" t="str">
        <f t="shared" si="8"/>
        <v>Q4</v>
      </c>
      <c r="R89" s="5" t="str">
        <f t="shared" si="9"/>
        <v>Large</v>
      </c>
      <c r="S89" s="5" t="str">
        <f t="shared" si="10"/>
        <v>Pending</v>
      </c>
      <c r="T89" s="5" t="str">
        <f t="shared" si="11"/>
        <v>Yes</v>
      </c>
    </row>
    <row r="90" spans="1:20" x14ac:dyDescent="0.35">
      <c r="A90" t="s">
        <v>102</v>
      </c>
      <c r="B90" s="2">
        <v>45813</v>
      </c>
      <c r="C90" t="s">
        <v>1302</v>
      </c>
      <c r="D90" t="s">
        <v>2409</v>
      </c>
      <c r="E90">
        <v>3</v>
      </c>
      <c r="F90">
        <v>114.81</v>
      </c>
      <c r="G90" t="s">
        <v>2492</v>
      </c>
      <c r="H90" t="s">
        <v>3068</v>
      </c>
      <c r="I90" t="s">
        <v>3071</v>
      </c>
      <c r="J90" t="s">
        <v>3163</v>
      </c>
      <c r="K90">
        <v>7</v>
      </c>
      <c r="L90" t="s">
        <v>4329</v>
      </c>
      <c r="M90" t="s">
        <v>4282</v>
      </c>
      <c r="N90">
        <v>344.43</v>
      </c>
      <c r="O90">
        <f t="shared" si="6"/>
        <v>344.43</v>
      </c>
      <c r="P90" t="str">
        <f t="shared" si="7"/>
        <v>Jun</v>
      </c>
      <c r="Q90" t="str">
        <f t="shared" si="8"/>
        <v>Q2</v>
      </c>
      <c r="R90" s="5" t="str">
        <f t="shared" si="9"/>
        <v>Medium</v>
      </c>
      <c r="S90" s="5" t="str">
        <f t="shared" si="10"/>
        <v>Pending</v>
      </c>
      <c r="T90" s="5" t="str">
        <f t="shared" si="11"/>
        <v>Yes</v>
      </c>
    </row>
    <row r="91" spans="1:20" x14ac:dyDescent="0.35">
      <c r="A91" t="s">
        <v>103</v>
      </c>
      <c r="B91" s="2">
        <v>45713</v>
      </c>
      <c r="C91" t="s">
        <v>1303</v>
      </c>
      <c r="D91" t="s">
        <v>2407</v>
      </c>
      <c r="E91">
        <v>5</v>
      </c>
      <c r="F91">
        <v>455.33</v>
      </c>
      <c r="G91" t="s">
        <v>2493</v>
      </c>
      <c r="H91" t="s">
        <v>3067</v>
      </c>
      <c r="I91" t="s">
        <v>3071</v>
      </c>
      <c r="J91" t="s">
        <v>3164</v>
      </c>
      <c r="K91">
        <v>8</v>
      </c>
      <c r="L91" t="s">
        <v>4276</v>
      </c>
      <c r="M91" t="s">
        <v>4282</v>
      </c>
      <c r="N91">
        <v>2276.65</v>
      </c>
      <c r="O91">
        <f t="shared" si="6"/>
        <v>2276.65</v>
      </c>
      <c r="P91" t="str">
        <f t="shared" si="7"/>
        <v>Feb</v>
      </c>
      <c r="Q91" t="str">
        <f t="shared" si="8"/>
        <v>Q1</v>
      </c>
      <c r="R91" s="5" t="str">
        <f t="shared" si="9"/>
        <v>Large</v>
      </c>
      <c r="S91" s="5" t="str">
        <f t="shared" si="10"/>
        <v>Pending</v>
      </c>
      <c r="T91" s="5" t="str">
        <f t="shared" si="11"/>
        <v>Yes</v>
      </c>
    </row>
    <row r="92" spans="1:20" x14ac:dyDescent="0.35">
      <c r="A92" t="s">
        <v>104</v>
      </c>
      <c r="B92" s="2">
        <v>45187</v>
      </c>
      <c r="C92" t="s">
        <v>1304</v>
      </c>
      <c r="D92" t="s">
        <v>2406</v>
      </c>
      <c r="E92">
        <v>4</v>
      </c>
      <c r="F92">
        <v>182.08</v>
      </c>
      <c r="G92" t="s">
        <v>2494</v>
      </c>
      <c r="H92" t="s">
        <v>3068</v>
      </c>
      <c r="I92" t="s">
        <v>3073</v>
      </c>
      <c r="J92" t="s">
        <v>3165</v>
      </c>
      <c r="K92">
        <v>4</v>
      </c>
      <c r="L92" t="s">
        <v>4275</v>
      </c>
      <c r="M92" t="s">
        <v>4280</v>
      </c>
      <c r="N92">
        <v>728.32</v>
      </c>
      <c r="O92">
        <f t="shared" si="6"/>
        <v>728.32</v>
      </c>
      <c r="P92" t="str">
        <f t="shared" si="7"/>
        <v>Sep</v>
      </c>
      <c r="Q92" t="str">
        <f t="shared" si="8"/>
        <v>Q3</v>
      </c>
      <c r="R92" s="5" t="str">
        <f t="shared" si="9"/>
        <v>Large</v>
      </c>
      <c r="S92" s="5" t="str">
        <f t="shared" si="10"/>
        <v>Completed</v>
      </c>
      <c r="T92" s="5" t="str">
        <f t="shared" si="11"/>
        <v>Yes</v>
      </c>
    </row>
    <row r="93" spans="1:20" x14ac:dyDescent="0.35">
      <c r="A93" t="s">
        <v>105</v>
      </c>
      <c r="B93" s="2">
        <v>45000</v>
      </c>
      <c r="C93" t="s">
        <v>1305</v>
      </c>
      <c r="D93" t="s">
        <v>2408</v>
      </c>
      <c r="E93">
        <v>5</v>
      </c>
      <c r="F93">
        <v>492.75</v>
      </c>
      <c r="G93" t="s">
        <v>2495</v>
      </c>
      <c r="H93" t="s">
        <v>3069</v>
      </c>
      <c r="I93" t="s">
        <v>3070</v>
      </c>
      <c r="J93" t="s">
        <v>3166</v>
      </c>
      <c r="K93">
        <v>6</v>
      </c>
      <c r="L93" t="s">
        <v>4277</v>
      </c>
      <c r="M93" t="s">
        <v>4279</v>
      </c>
      <c r="N93">
        <v>2463.75</v>
      </c>
      <c r="O93">
        <f t="shared" si="6"/>
        <v>2463.75</v>
      </c>
      <c r="P93" t="str">
        <f t="shared" si="7"/>
        <v>Mar</v>
      </c>
      <c r="Q93" t="str">
        <f t="shared" si="8"/>
        <v>Q1</v>
      </c>
      <c r="R93" s="5" t="str">
        <f t="shared" si="9"/>
        <v>Large</v>
      </c>
      <c r="S93" s="5" t="str">
        <f t="shared" si="10"/>
        <v>Pending</v>
      </c>
      <c r="T93" s="5" t="str">
        <f t="shared" si="11"/>
        <v>Yes</v>
      </c>
    </row>
    <row r="94" spans="1:20" x14ac:dyDescent="0.35">
      <c r="A94" t="s">
        <v>106</v>
      </c>
      <c r="B94" s="2">
        <v>45453</v>
      </c>
      <c r="C94" t="s">
        <v>1306</v>
      </c>
      <c r="D94" t="s">
        <v>2407</v>
      </c>
      <c r="E94">
        <v>4</v>
      </c>
      <c r="F94">
        <v>48.61</v>
      </c>
      <c r="G94" t="s">
        <v>2496</v>
      </c>
      <c r="H94" t="s">
        <v>3066</v>
      </c>
      <c r="I94" t="s">
        <v>3070</v>
      </c>
      <c r="J94" t="s">
        <v>3167</v>
      </c>
      <c r="K94">
        <v>7</v>
      </c>
      <c r="L94" t="s">
        <v>4276</v>
      </c>
      <c r="M94" t="s">
        <v>4281</v>
      </c>
      <c r="N94">
        <v>194.44</v>
      </c>
      <c r="O94">
        <f t="shared" si="6"/>
        <v>194.44</v>
      </c>
      <c r="P94" t="str">
        <f t="shared" si="7"/>
        <v>Jun</v>
      </c>
      <c r="Q94" t="str">
        <f t="shared" si="8"/>
        <v>Q2</v>
      </c>
      <c r="R94" s="5" t="str">
        <f t="shared" si="9"/>
        <v>Medium</v>
      </c>
      <c r="S94" s="5" t="str">
        <f t="shared" si="10"/>
        <v>Pending</v>
      </c>
      <c r="T94" s="5" t="str">
        <f t="shared" si="11"/>
        <v>Yes</v>
      </c>
    </row>
    <row r="95" spans="1:20" x14ac:dyDescent="0.35">
      <c r="A95" t="s">
        <v>107</v>
      </c>
      <c r="B95" s="2">
        <v>44940</v>
      </c>
      <c r="C95" t="s">
        <v>1307</v>
      </c>
      <c r="D95" t="s">
        <v>2409</v>
      </c>
      <c r="E95">
        <v>4</v>
      </c>
      <c r="F95">
        <v>431.01</v>
      </c>
      <c r="G95" t="s">
        <v>2497</v>
      </c>
      <c r="H95" t="s">
        <v>3067</v>
      </c>
      <c r="I95" t="s">
        <v>3072</v>
      </c>
      <c r="J95" t="s">
        <v>3168</v>
      </c>
      <c r="K95">
        <v>7</v>
      </c>
      <c r="L95" t="s">
        <v>4329</v>
      </c>
      <c r="M95" t="s">
        <v>4279</v>
      </c>
      <c r="N95">
        <v>1724.04</v>
      </c>
      <c r="O95">
        <f t="shared" si="6"/>
        <v>1724.04</v>
      </c>
      <c r="P95" t="str">
        <f t="shared" si="7"/>
        <v>Jan</v>
      </c>
      <c r="Q95" t="str">
        <f t="shared" si="8"/>
        <v>Q1</v>
      </c>
      <c r="R95" s="5" t="str">
        <f t="shared" si="9"/>
        <v>Large</v>
      </c>
      <c r="S95" s="5" t="str">
        <f t="shared" si="10"/>
        <v>Pending</v>
      </c>
      <c r="T95" s="5" t="str">
        <f t="shared" si="11"/>
        <v>Yes</v>
      </c>
    </row>
    <row r="96" spans="1:20"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c r="O96">
        <f t="shared" si="6"/>
        <v>531.17999999999995</v>
      </c>
      <c r="P96" t="str">
        <f t="shared" si="7"/>
        <v>Feb</v>
      </c>
      <c r="Q96" t="str">
        <f t="shared" si="8"/>
        <v>Q1</v>
      </c>
      <c r="R96" s="5" t="str">
        <f t="shared" si="9"/>
        <v>Large</v>
      </c>
      <c r="S96" s="5" t="str">
        <f t="shared" si="10"/>
        <v>Pending</v>
      </c>
      <c r="T96" s="5" t="str">
        <f t="shared" si="11"/>
        <v>Yes</v>
      </c>
    </row>
    <row r="97" spans="1:20" x14ac:dyDescent="0.35">
      <c r="A97" t="s">
        <v>109</v>
      </c>
      <c r="B97" s="2">
        <v>45009</v>
      </c>
      <c r="C97" t="s">
        <v>1309</v>
      </c>
      <c r="D97" t="s">
        <v>2407</v>
      </c>
      <c r="E97">
        <v>4</v>
      </c>
      <c r="F97">
        <v>117.51</v>
      </c>
      <c r="G97" t="s">
        <v>2499</v>
      </c>
      <c r="H97" t="s">
        <v>3065</v>
      </c>
      <c r="I97" t="s">
        <v>3072</v>
      </c>
      <c r="J97" t="s">
        <v>3170</v>
      </c>
      <c r="K97">
        <v>7</v>
      </c>
      <c r="L97" t="s">
        <v>4329</v>
      </c>
      <c r="M97" t="s">
        <v>4279</v>
      </c>
      <c r="N97">
        <v>470.04</v>
      </c>
      <c r="O97">
        <f t="shared" si="6"/>
        <v>470.04</v>
      </c>
      <c r="P97" t="str">
        <f t="shared" si="7"/>
        <v>Mar</v>
      </c>
      <c r="Q97" t="str">
        <f t="shared" si="8"/>
        <v>Q1</v>
      </c>
      <c r="R97" s="5" t="str">
        <f t="shared" si="9"/>
        <v>Medium</v>
      </c>
      <c r="S97" s="5" t="str">
        <f t="shared" si="10"/>
        <v>Pending</v>
      </c>
      <c r="T97" s="5" t="str">
        <f t="shared" si="11"/>
        <v>Yes</v>
      </c>
    </row>
    <row r="98" spans="1:20" x14ac:dyDescent="0.35">
      <c r="A98" t="s">
        <v>110</v>
      </c>
      <c r="B98" s="2">
        <v>45444</v>
      </c>
      <c r="C98" t="s">
        <v>1310</v>
      </c>
      <c r="D98" t="s">
        <v>2404</v>
      </c>
      <c r="E98">
        <v>2</v>
      </c>
      <c r="F98">
        <v>232.83</v>
      </c>
      <c r="G98" t="s">
        <v>2483</v>
      </c>
      <c r="H98" t="s">
        <v>3068</v>
      </c>
      <c r="I98" t="s">
        <v>3073</v>
      </c>
      <c r="J98" t="s">
        <v>3171</v>
      </c>
      <c r="K98">
        <v>7</v>
      </c>
      <c r="L98" t="s">
        <v>4329</v>
      </c>
      <c r="M98" t="s">
        <v>4278</v>
      </c>
      <c r="N98">
        <v>465.66</v>
      </c>
      <c r="O98">
        <f t="shared" si="6"/>
        <v>465.66</v>
      </c>
      <c r="P98" t="str">
        <f t="shared" si="7"/>
        <v>Jun</v>
      </c>
      <c r="Q98" t="str">
        <f t="shared" si="8"/>
        <v>Q2</v>
      </c>
      <c r="R98" s="5" t="str">
        <f t="shared" si="9"/>
        <v>Medium</v>
      </c>
      <c r="S98" s="5" t="str">
        <f t="shared" si="10"/>
        <v>Completed</v>
      </c>
      <c r="T98" s="5" t="str">
        <f t="shared" si="11"/>
        <v>Yes</v>
      </c>
    </row>
    <row r="99" spans="1:20" x14ac:dyDescent="0.35">
      <c r="A99" t="s">
        <v>111</v>
      </c>
      <c r="B99" s="2">
        <v>45678</v>
      </c>
      <c r="C99" t="s">
        <v>1311</v>
      </c>
      <c r="D99" t="s">
        <v>2405</v>
      </c>
      <c r="E99">
        <v>5</v>
      </c>
      <c r="F99">
        <v>619.52</v>
      </c>
      <c r="G99" t="s">
        <v>2500</v>
      </c>
      <c r="H99" t="s">
        <v>3065</v>
      </c>
      <c r="I99" t="s">
        <v>3074</v>
      </c>
      <c r="J99" t="s">
        <v>3172</v>
      </c>
      <c r="K99">
        <v>9</v>
      </c>
      <c r="L99" t="s">
        <v>4329</v>
      </c>
      <c r="M99" t="s">
        <v>4280</v>
      </c>
      <c r="N99">
        <v>3097.6</v>
      </c>
      <c r="O99">
        <f t="shared" si="6"/>
        <v>3097.6</v>
      </c>
      <c r="P99" t="str">
        <f t="shared" si="7"/>
        <v>Jan</v>
      </c>
      <c r="Q99" t="str">
        <f t="shared" si="8"/>
        <v>Q1</v>
      </c>
      <c r="R99" s="5" t="str">
        <f t="shared" si="9"/>
        <v>Large</v>
      </c>
      <c r="S99" s="5" t="str">
        <f t="shared" si="10"/>
        <v>Pending</v>
      </c>
      <c r="T99" s="5" t="str">
        <f t="shared" si="11"/>
        <v>Yes</v>
      </c>
    </row>
    <row r="100" spans="1:20" x14ac:dyDescent="0.35">
      <c r="A100" t="s">
        <v>112</v>
      </c>
      <c r="B100" s="2">
        <v>44940</v>
      </c>
      <c r="C100" t="s">
        <v>1312</v>
      </c>
      <c r="D100" t="s">
        <v>2407</v>
      </c>
      <c r="E100">
        <v>2</v>
      </c>
      <c r="F100">
        <v>228.54</v>
      </c>
      <c r="G100" t="s">
        <v>2501</v>
      </c>
      <c r="H100" t="s">
        <v>3065</v>
      </c>
      <c r="I100" t="s">
        <v>3074</v>
      </c>
      <c r="J100" t="s">
        <v>3173</v>
      </c>
      <c r="K100">
        <v>3</v>
      </c>
      <c r="L100" t="s">
        <v>4329</v>
      </c>
      <c r="M100" t="s">
        <v>4280</v>
      </c>
      <c r="N100">
        <v>457.08</v>
      </c>
      <c r="O100">
        <f t="shared" si="6"/>
        <v>457.08</v>
      </c>
      <c r="P100" t="str">
        <f t="shared" si="7"/>
        <v>Jan</v>
      </c>
      <c r="Q100" t="str">
        <f t="shared" si="8"/>
        <v>Q1</v>
      </c>
      <c r="R100" s="5" t="str">
        <f t="shared" si="9"/>
        <v>Medium</v>
      </c>
      <c r="S100" s="5" t="str">
        <f t="shared" si="10"/>
        <v>Pending</v>
      </c>
      <c r="T100" s="5" t="str">
        <f t="shared" si="11"/>
        <v>Yes</v>
      </c>
    </row>
    <row r="101" spans="1:20"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c r="O101">
        <f t="shared" si="6"/>
        <v>201.58</v>
      </c>
      <c r="P101" t="str">
        <f t="shared" si="7"/>
        <v>Apr</v>
      </c>
      <c r="Q101" t="str">
        <f t="shared" si="8"/>
        <v>Q2</v>
      </c>
      <c r="R101" s="5" t="str">
        <f t="shared" si="9"/>
        <v>Medium</v>
      </c>
      <c r="S101" s="5" t="str">
        <f t="shared" si="10"/>
        <v>Pending</v>
      </c>
      <c r="T101" s="5" t="str">
        <f t="shared" si="11"/>
        <v>Yes</v>
      </c>
    </row>
    <row r="102" spans="1:20" x14ac:dyDescent="0.35">
      <c r="A102" t="s">
        <v>114</v>
      </c>
      <c r="B102" s="2">
        <v>44974</v>
      </c>
      <c r="C102" t="s">
        <v>1314</v>
      </c>
      <c r="D102" t="s">
        <v>2404</v>
      </c>
      <c r="E102">
        <v>3</v>
      </c>
      <c r="F102">
        <v>664.79</v>
      </c>
      <c r="G102" t="s">
        <v>2503</v>
      </c>
      <c r="H102" t="s">
        <v>3066</v>
      </c>
      <c r="I102" t="s">
        <v>3073</v>
      </c>
      <c r="J102" t="s">
        <v>3175</v>
      </c>
      <c r="K102">
        <v>6</v>
      </c>
      <c r="L102" t="s">
        <v>4329</v>
      </c>
      <c r="M102" t="s">
        <v>4281</v>
      </c>
      <c r="N102">
        <v>1994.37</v>
      </c>
      <c r="O102">
        <f t="shared" si="6"/>
        <v>1994.37</v>
      </c>
      <c r="P102" t="str">
        <f t="shared" si="7"/>
        <v>Feb</v>
      </c>
      <c r="Q102" t="str">
        <f t="shared" si="8"/>
        <v>Q1</v>
      </c>
      <c r="R102" s="5" t="str">
        <f t="shared" si="9"/>
        <v>Large</v>
      </c>
      <c r="S102" s="5" t="str">
        <f t="shared" si="10"/>
        <v>Completed</v>
      </c>
      <c r="T102" s="5" t="str">
        <f t="shared" si="11"/>
        <v>Yes</v>
      </c>
    </row>
    <row r="103" spans="1:20" x14ac:dyDescent="0.35">
      <c r="A103" t="s">
        <v>115</v>
      </c>
      <c r="B103" s="2">
        <v>45255</v>
      </c>
      <c r="C103" t="s">
        <v>1315</v>
      </c>
      <c r="D103" t="s">
        <v>2407</v>
      </c>
      <c r="E103">
        <v>1</v>
      </c>
      <c r="F103">
        <v>381.02</v>
      </c>
      <c r="G103" t="s">
        <v>2504</v>
      </c>
      <c r="H103" t="s">
        <v>3069</v>
      </c>
      <c r="I103" t="s">
        <v>3070</v>
      </c>
      <c r="J103" t="s">
        <v>3176</v>
      </c>
      <c r="K103">
        <v>6</v>
      </c>
      <c r="L103" t="s">
        <v>4329</v>
      </c>
      <c r="M103" t="s">
        <v>4282</v>
      </c>
      <c r="N103">
        <v>381.02</v>
      </c>
      <c r="O103">
        <f t="shared" si="6"/>
        <v>381.02</v>
      </c>
      <c r="P103" t="str">
        <f t="shared" si="7"/>
        <v>Nov</v>
      </c>
      <c r="Q103" t="str">
        <f t="shared" si="8"/>
        <v>Q4</v>
      </c>
      <c r="R103" s="5" t="str">
        <f t="shared" si="9"/>
        <v>Medium</v>
      </c>
      <c r="S103" s="5" t="str">
        <f t="shared" si="10"/>
        <v>Pending</v>
      </c>
      <c r="T103" s="5" t="str">
        <f t="shared" si="11"/>
        <v>Yes</v>
      </c>
    </row>
    <row r="104" spans="1:20"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c r="O104">
        <f t="shared" si="6"/>
        <v>140.68</v>
      </c>
      <c r="P104" t="str">
        <f t="shared" si="7"/>
        <v>Mar</v>
      </c>
      <c r="Q104" t="str">
        <f t="shared" si="8"/>
        <v>Q1</v>
      </c>
      <c r="R104" s="5" t="str">
        <f t="shared" si="9"/>
        <v>Medium</v>
      </c>
      <c r="S104" s="5" t="str">
        <f t="shared" si="10"/>
        <v>Pending</v>
      </c>
      <c r="T104" s="5" t="str">
        <f t="shared" si="11"/>
        <v>Yes</v>
      </c>
    </row>
    <row r="105" spans="1:20"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c r="O105">
        <f t="shared" si="6"/>
        <v>873.72</v>
      </c>
      <c r="P105" t="str">
        <f t="shared" si="7"/>
        <v>Jan</v>
      </c>
      <c r="Q105" t="str">
        <f t="shared" si="8"/>
        <v>Q1</v>
      </c>
      <c r="R105" s="5" t="str">
        <f t="shared" si="9"/>
        <v>Large</v>
      </c>
      <c r="S105" s="5" t="str">
        <f t="shared" si="10"/>
        <v>Pending</v>
      </c>
      <c r="T105" s="5" t="str">
        <f t="shared" si="11"/>
        <v>Yes</v>
      </c>
    </row>
    <row r="106" spans="1:20"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c r="O106">
        <f t="shared" si="6"/>
        <v>582.04</v>
      </c>
      <c r="P106" t="str">
        <f t="shared" si="7"/>
        <v>Jul</v>
      </c>
      <c r="Q106" t="str">
        <f t="shared" si="8"/>
        <v>Q3</v>
      </c>
      <c r="R106" s="5" t="str">
        <f t="shared" si="9"/>
        <v>Large</v>
      </c>
      <c r="S106" s="5" t="str">
        <f t="shared" si="10"/>
        <v>Completed</v>
      </c>
      <c r="T106" s="5" t="str">
        <f t="shared" si="11"/>
        <v>Yes</v>
      </c>
    </row>
    <row r="107" spans="1:20" x14ac:dyDescent="0.35">
      <c r="A107" t="s">
        <v>119</v>
      </c>
      <c r="B107" s="2">
        <v>45589</v>
      </c>
      <c r="C107" t="s">
        <v>1319</v>
      </c>
      <c r="D107" t="s">
        <v>2407</v>
      </c>
      <c r="E107">
        <v>3</v>
      </c>
      <c r="F107">
        <v>185.4</v>
      </c>
      <c r="G107" t="s">
        <v>2508</v>
      </c>
      <c r="H107" t="s">
        <v>3068</v>
      </c>
      <c r="I107" t="s">
        <v>3071</v>
      </c>
      <c r="J107" t="s">
        <v>3180</v>
      </c>
      <c r="K107">
        <v>7</v>
      </c>
      <c r="L107" t="s">
        <v>4329</v>
      </c>
      <c r="M107" t="s">
        <v>4281</v>
      </c>
      <c r="N107">
        <v>556.20000000000005</v>
      </c>
      <c r="O107">
        <f t="shared" si="6"/>
        <v>556.20000000000005</v>
      </c>
      <c r="P107" t="str">
        <f t="shared" si="7"/>
        <v>Oct</v>
      </c>
      <c r="Q107" t="str">
        <f t="shared" si="8"/>
        <v>Q4</v>
      </c>
      <c r="R107" s="5" t="str">
        <f t="shared" si="9"/>
        <v>Large</v>
      </c>
      <c r="S107" s="5" t="str">
        <f t="shared" si="10"/>
        <v>Pending</v>
      </c>
      <c r="T107" s="5" t="str">
        <f t="shared" si="11"/>
        <v>Yes</v>
      </c>
    </row>
    <row r="108" spans="1:20"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c r="O108">
        <f t="shared" si="6"/>
        <v>1395.15</v>
      </c>
      <c r="P108" t="str">
        <f t="shared" si="7"/>
        <v>Sep</v>
      </c>
      <c r="Q108" t="str">
        <f t="shared" si="8"/>
        <v>Q3</v>
      </c>
      <c r="R108" s="5" t="str">
        <f t="shared" si="9"/>
        <v>Large</v>
      </c>
      <c r="S108" s="5" t="str">
        <f t="shared" si="10"/>
        <v>Pending</v>
      </c>
      <c r="T108" s="5" t="str">
        <f t="shared" si="11"/>
        <v>Yes</v>
      </c>
    </row>
    <row r="109" spans="1:20"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c r="O109">
        <f t="shared" si="6"/>
        <v>3353.75</v>
      </c>
      <c r="P109" t="str">
        <f t="shared" si="7"/>
        <v>Mar</v>
      </c>
      <c r="Q109" t="str">
        <f t="shared" si="8"/>
        <v>Q1</v>
      </c>
      <c r="R109" s="5" t="str">
        <f t="shared" si="9"/>
        <v>Large</v>
      </c>
      <c r="S109" s="5" t="str">
        <f t="shared" si="10"/>
        <v>Pending</v>
      </c>
      <c r="T109" s="5" t="str">
        <f t="shared" si="11"/>
        <v>Yes</v>
      </c>
    </row>
    <row r="110" spans="1:20"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c r="O110">
        <f t="shared" si="6"/>
        <v>241.9</v>
      </c>
      <c r="P110" t="str">
        <f t="shared" si="7"/>
        <v>Dec</v>
      </c>
      <c r="Q110" t="str">
        <f t="shared" si="8"/>
        <v>Q4</v>
      </c>
      <c r="R110" s="5" t="str">
        <f t="shared" si="9"/>
        <v>Medium</v>
      </c>
      <c r="S110" s="5" t="str">
        <f t="shared" si="10"/>
        <v>Completed</v>
      </c>
      <c r="T110" s="5" t="str">
        <f t="shared" si="11"/>
        <v>Yes</v>
      </c>
    </row>
    <row r="111" spans="1:20"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c r="O111">
        <f t="shared" si="6"/>
        <v>1778.6100000000001</v>
      </c>
      <c r="P111" t="str">
        <f t="shared" si="7"/>
        <v>Sep</v>
      </c>
      <c r="Q111" t="str">
        <f t="shared" si="8"/>
        <v>Q3</v>
      </c>
      <c r="R111" s="5" t="str">
        <f t="shared" si="9"/>
        <v>Large</v>
      </c>
      <c r="S111" s="5" t="str">
        <f t="shared" si="10"/>
        <v>Pending</v>
      </c>
      <c r="T111" s="5" t="str">
        <f t="shared" si="11"/>
        <v>Yes</v>
      </c>
    </row>
    <row r="112" spans="1:20"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c r="O112">
        <f t="shared" si="6"/>
        <v>220.77</v>
      </c>
      <c r="P112" t="str">
        <f t="shared" si="7"/>
        <v>Apr</v>
      </c>
      <c r="Q112" t="str">
        <f t="shared" si="8"/>
        <v>Q2</v>
      </c>
      <c r="R112" s="5" t="str">
        <f t="shared" si="9"/>
        <v>Medium</v>
      </c>
      <c r="S112" s="5" t="str">
        <f t="shared" si="10"/>
        <v>Pending</v>
      </c>
      <c r="T112" s="5" t="str">
        <f t="shared" si="11"/>
        <v>Yes</v>
      </c>
    </row>
    <row r="113" spans="1:20"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c r="O113">
        <f t="shared" si="6"/>
        <v>927.66000000000008</v>
      </c>
      <c r="P113" t="str">
        <f t="shared" si="7"/>
        <v>May</v>
      </c>
      <c r="Q113" t="str">
        <f t="shared" si="8"/>
        <v>Q2</v>
      </c>
      <c r="R113" s="5" t="str">
        <f t="shared" si="9"/>
        <v>Large</v>
      </c>
      <c r="S113" s="5" t="str">
        <f t="shared" si="10"/>
        <v>Pending</v>
      </c>
      <c r="T113" s="5" t="str">
        <f t="shared" si="11"/>
        <v>Yes</v>
      </c>
    </row>
    <row r="114" spans="1:20"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c r="O114">
        <f t="shared" si="6"/>
        <v>410.6</v>
      </c>
      <c r="P114" t="str">
        <f t="shared" si="7"/>
        <v>Jan</v>
      </c>
      <c r="Q114" t="str">
        <f t="shared" si="8"/>
        <v>Q1</v>
      </c>
      <c r="R114" s="5" t="str">
        <f t="shared" si="9"/>
        <v>Medium</v>
      </c>
      <c r="S114" s="5" t="str">
        <f t="shared" si="10"/>
        <v>Pending</v>
      </c>
      <c r="T114" s="5" t="str">
        <f t="shared" si="11"/>
        <v>Yes</v>
      </c>
    </row>
    <row r="115" spans="1:20"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c r="O115">
        <f t="shared" si="6"/>
        <v>950.40000000000009</v>
      </c>
      <c r="P115" t="str">
        <f t="shared" si="7"/>
        <v>Jan</v>
      </c>
      <c r="Q115" t="str">
        <f t="shared" si="8"/>
        <v>Q1</v>
      </c>
      <c r="R115" s="5" t="str">
        <f t="shared" si="9"/>
        <v>Large</v>
      </c>
      <c r="S115" s="5" t="str">
        <f t="shared" si="10"/>
        <v>Pending</v>
      </c>
      <c r="T115" s="5" t="str">
        <f t="shared" si="11"/>
        <v>Yes</v>
      </c>
    </row>
    <row r="116" spans="1:20"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c r="O116">
        <f t="shared" si="6"/>
        <v>2492.4</v>
      </c>
      <c r="P116" t="str">
        <f t="shared" si="7"/>
        <v>Jan</v>
      </c>
      <c r="Q116" t="str">
        <f t="shared" si="8"/>
        <v>Q1</v>
      </c>
      <c r="R116" s="5" t="str">
        <f t="shared" si="9"/>
        <v>Large</v>
      </c>
      <c r="S116" s="5" t="str">
        <f t="shared" si="10"/>
        <v>Pending</v>
      </c>
      <c r="T116" s="5" t="str">
        <f t="shared" si="11"/>
        <v>Yes</v>
      </c>
    </row>
    <row r="117" spans="1:20"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c r="O117">
        <f t="shared" si="6"/>
        <v>1874.95</v>
      </c>
      <c r="P117" t="str">
        <f t="shared" si="7"/>
        <v>Nov</v>
      </c>
      <c r="Q117" t="str">
        <f t="shared" si="8"/>
        <v>Q4</v>
      </c>
      <c r="R117" s="5" t="str">
        <f t="shared" si="9"/>
        <v>Large</v>
      </c>
      <c r="S117" s="5" t="str">
        <f t="shared" si="10"/>
        <v>Pending</v>
      </c>
      <c r="T117" s="5" t="str">
        <f t="shared" si="11"/>
        <v>Yes</v>
      </c>
    </row>
    <row r="118" spans="1:20"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c r="O118">
        <f t="shared" si="6"/>
        <v>1165.4000000000001</v>
      </c>
      <c r="P118" t="str">
        <f t="shared" si="7"/>
        <v>Mar</v>
      </c>
      <c r="Q118" t="str">
        <f t="shared" si="8"/>
        <v>Q1</v>
      </c>
      <c r="R118" s="5" t="str">
        <f t="shared" si="9"/>
        <v>Large</v>
      </c>
      <c r="S118" s="5" t="str">
        <f t="shared" si="10"/>
        <v>Pending</v>
      </c>
      <c r="T118" s="5" t="str">
        <f t="shared" si="11"/>
        <v>Yes</v>
      </c>
    </row>
    <row r="119" spans="1:20"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c r="O119">
        <f t="shared" si="6"/>
        <v>535.5</v>
      </c>
      <c r="P119" t="str">
        <f t="shared" si="7"/>
        <v>Mar</v>
      </c>
      <c r="Q119" t="str">
        <f t="shared" si="8"/>
        <v>Q1</v>
      </c>
      <c r="R119" s="5" t="str">
        <f t="shared" si="9"/>
        <v>Large</v>
      </c>
      <c r="S119" s="5" t="str">
        <f t="shared" si="10"/>
        <v>Pending</v>
      </c>
      <c r="T119" s="5" t="str">
        <f t="shared" si="11"/>
        <v>Yes</v>
      </c>
    </row>
    <row r="120" spans="1:20"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c r="O120">
        <f t="shared" si="6"/>
        <v>2513.5499999999997</v>
      </c>
      <c r="P120" t="str">
        <f t="shared" si="7"/>
        <v>Oct</v>
      </c>
      <c r="Q120" t="str">
        <f t="shared" si="8"/>
        <v>Q4</v>
      </c>
      <c r="R120" s="5" t="str">
        <f t="shared" si="9"/>
        <v>Large</v>
      </c>
      <c r="S120" s="5" t="str">
        <f t="shared" si="10"/>
        <v>Pending</v>
      </c>
      <c r="T120" s="5" t="str">
        <f t="shared" si="11"/>
        <v>Yes</v>
      </c>
    </row>
    <row r="121" spans="1:20"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c r="O121">
        <f t="shared" si="6"/>
        <v>1069.3399999999999</v>
      </c>
      <c r="P121" t="str">
        <f t="shared" si="7"/>
        <v>Jun</v>
      </c>
      <c r="Q121" t="str">
        <f t="shared" si="8"/>
        <v>Q2</v>
      </c>
      <c r="R121" s="5" t="str">
        <f t="shared" si="9"/>
        <v>Large</v>
      </c>
      <c r="S121" s="5" t="str">
        <f t="shared" si="10"/>
        <v>Pending</v>
      </c>
      <c r="T121" s="5" t="str">
        <f t="shared" si="11"/>
        <v>Yes</v>
      </c>
    </row>
    <row r="122" spans="1:20"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c r="O122">
        <f t="shared" si="6"/>
        <v>2517.36</v>
      </c>
      <c r="P122" t="str">
        <f t="shared" si="7"/>
        <v>Apr</v>
      </c>
      <c r="Q122" t="str">
        <f t="shared" si="8"/>
        <v>Q2</v>
      </c>
      <c r="R122" s="5" t="str">
        <f t="shared" si="9"/>
        <v>Large</v>
      </c>
      <c r="S122" s="5" t="str">
        <f t="shared" si="10"/>
        <v>Pending</v>
      </c>
      <c r="T122" s="5" t="str">
        <f t="shared" si="11"/>
        <v>Yes</v>
      </c>
    </row>
    <row r="123" spans="1:20"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c r="O123">
        <f t="shared" si="6"/>
        <v>410.78</v>
      </c>
      <c r="P123" t="str">
        <f t="shared" si="7"/>
        <v>Nov</v>
      </c>
      <c r="Q123" t="str">
        <f t="shared" si="8"/>
        <v>Q4</v>
      </c>
      <c r="R123" s="5" t="str">
        <f t="shared" si="9"/>
        <v>Medium</v>
      </c>
      <c r="S123" s="5" t="str">
        <f t="shared" si="10"/>
        <v>Pending</v>
      </c>
      <c r="T123" s="5" t="str">
        <f t="shared" si="11"/>
        <v>Yes</v>
      </c>
    </row>
    <row r="124" spans="1:20" x14ac:dyDescent="0.35">
      <c r="A124" t="s">
        <v>136</v>
      </c>
      <c r="B124" s="2">
        <v>45397</v>
      </c>
      <c r="C124" t="s">
        <v>1336</v>
      </c>
      <c r="D124" t="s">
        <v>2408</v>
      </c>
      <c r="E124">
        <v>2</v>
      </c>
      <c r="F124">
        <v>533.02</v>
      </c>
      <c r="G124" t="s">
        <v>2524</v>
      </c>
      <c r="H124" t="s">
        <v>3068</v>
      </c>
      <c r="I124" t="s">
        <v>3070</v>
      </c>
      <c r="J124" t="s">
        <v>3197</v>
      </c>
      <c r="K124">
        <v>2</v>
      </c>
      <c r="L124" t="s">
        <v>4329</v>
      </c>
      <c r="M124" t="s">
        <v>4281</v>
      </c>
      <c r="N124">
        <v>1066.04</v>
      </c>
      <c r="O124">
        <f t="shared" si="6"/>
        <v>1066.04</v>
      </c>
      <c r="P124" t="str">
        <f t="shared" si="7"/>
        <v>Apr</v>
      </c>
      <c r="Q124" t="str">
        <f t="shared" si="8"/>
        <v>Q2</v>
      </c>
      <c r="R124" s="5" t="str">
        <f t="shared" si="9"/>
        <v>Large</v>
      </c>
      <c r="S124" s="5" t="str">
        <f t="shared" si="10"/>
        <v>Pending</v>
      </c>
      <c r="T124" s="5" t="str">
        <f t="shared" si="11"/>
        <v>Yes</v>
      </c>
    </row>
    <row r="125" spans="1:20" x14ac:dyDescent="0.35">
      <c r="A125" t="s">
        <v>137</v>
      </c>
      <c r="B125" s="2">
        <v>45113</v>
      </c>
      <c r="C125" t="s">
        <v>1337</v>
      </c>
      <c r="D125" t="s">
        <v>2409</v>
      </c>
      <c r="E125">
        <v>3</v>
      </c>
      <c r="F125">
        <v>278.04000000000002</v>
      </c>
      <c r="G125" t="s">
        <v>2525</v>
      </c>
      <c r="H125" t="s">
        <v>3066</v>
      </c>
      <c r="I125" t="s">
        <v>3073</v>
      </c>
      <c r="J125" t="s">
        <v>3198</v>
      </c>
      <c r="K125">
        <v>5</v>
      </c>
      <c r="L125" t="s">
        <v>4329</v>
      </c>
      <c r="M125" t="s">
        <v>4278</v>
      </c>
      <c r="N125">
        <v>834.12000000000012</v>
      </c>
      <c r="O125">
        <f t="shared" si="6"/>
        <v>834.12000000000012</v>
      </c>
      <c r="P125" t="str">
        <f t="shared" si="7"/>
        <v>Jul</v>
      </c>
      <c r="Q125" t="str">
        <f t="shared" si="8"/>
        <v>Q3</v>
      </c>
      <c r="R125" s="5" t="str">
        <f t="shared" si="9"/>
        <v>Large</v>
      </c>
      <c r="S125" s="5" t="str">
        <f t="shared" si="10"/>
        <v>Completed</v>
      </c>
      <c r="T125" s="5" t="str">
        <f t="shared" si="11"/>
        <v>Yes</v>
      </c>
    </row>
    <row r="126" spans="1:20" x14ac:dyDescent="0.35">
      <c r="A126" t="s">
        <v>138</v>
      </c>
      <c r="B126" s="2">
        <v>45501</v>
      </c>
      <c r="C126" t="s">
        <v>1338</v>
      </c>
      <c r="D126" t="s">
        <v>2407</v>
      </c>
      <c r="E126">
        <v>4</v>
      </c>
      <c r="F126">
        <v>283.79000000000002</v>
      </c>
      <c r="G126" t="s">
        <v>2526</v>
      </c>
      <c r="H126" t="s">
        <v>3066</v>
      </c>
      <c r="I126" t="s">
        <v>3074</v>
      </c>
      <c r="J126" t="s">
        <v>3199</v>
      </c>
      <c r="K126">
        <v>8</v>
      </c>
      <c r="L126" t="s">
        <v>4329</v>
      </c>
      <c r="M126" t="s">
        <v>4282</v>
      </c>
      <c r="N126">
        <v>1135.1600000000001</v>
      </c>
      <c r="O126">
        <f t="shared" si="6"/>
        <v>1135.1600000000001</v>
      </c>
      <c r="P126" t="str">
        <f t="shared" si="7"/>
        <v>Jul</v>
      </c>
      <c r="Q126" t="str">
        <f t="shared" si="8"/>
        <v>Q3</v>
      </c>
      <c r="R126" s="5" t="str">
        <f t="shared" si="9"/>
        <v>Large</v>
      </c>
      <c r="S126" s="5" t="str">
        <f t="shared" si="10"/>
        <v>Pending</v>
      </c>
      <c r="T126" s="5" t="str">
        <f t="shared" si="11"/>
        <v>Yes</v>
      </c>
    </row>
    <row r="127" spans="1:20"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c r="O127">
        <f t="shared" si="6"/>
        <v>1025.3</v>
      </c>
      <c r="P127" t="str">
        <f t="shared" si="7"/>
        <v>Nov</v>
      </c>
      <c r="Q127" t="str">
        <f t="shared" si="8"/>
        <v>Q4</v>
      </c>
      <c r="R127" s="5" t="str">
        <f t="shared" si="9"/>
        <v>Large</v>
      </c>
      <c r="S127" s="5" t="str">
        <f t="shared" si="10"/>
        <v>Pending</v>
      </c>
      <c r="T127" s="5" t="str">
        <f t="shared" si="11"/>
        <v>Yes</v>
      </c>
    </row>
    <row r="128" spans="1:20"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c r="O128">
        <f t="shared" si="6"/>
        <v>1102</v>
      </c>
      <c r="P128" t="str">
        <f t="shared" si="7"/>
        <v>May</v>
      </c>
      <c r="Q128" t="str">
        <f t="shared" si="8"/>
        <v>Q2</v>
      </c>
      <c r="R128" s="5" t="str">
        <f t="shared" si="9"/>
        <v>Large</v>
      </c>
      <c r="S128" s="5" t="str">
        <f t="shared" si="10"/>
        <v>Pending</v>
      </c>
      <c r="T128" s="5" t="str">
        <f t="shared" si="11"/>
        <v>Yes</v>
      </c>
    </row>
    <row r="129" spans="1:20" x14ac:dyDescent="0.35">
      <c r="A129" t="s">
        <v>141</v>
      </c>
      <c r="B129" s="2">
        <v>45148</v>
      </c>
      <c r="C129" t="s">
        <v>1341</v>
      </c>
      <c r="D129" t="s">
        <v>2409</v>
      </c>
      <c r="E129">
        <v>3</v>
      </c>
      <c r="F129">
        <v>469.32</v>
      </c>
      <c r="G129" t="s">
        <v>2529</v>
      </c>
      <c r="H129" t="s">
        <v>3065</v>
      </c>
      <c r="I129" t="s">
        <v>3070</v>
      </c>
      <c r="J129" t="s">
        <v>3202</v>
      </c>
      <c r="K129">
        <v>3</v>
      </c>
      <c r="L129" t="s">
        <v>4329</v>
      </c>
      <c r="M129" t="s">
        <v>4282</v>
      </c>
      <c r="N129">
        <v>1407.96</v>
      </c>
      <c r="O129">
        <f t="shared" si="6"/>
        <v>1407.96</v>
      </c>
      <c r="P129" t="str">
        <f t="shared" si="7"/>
        <v>Aug</v>
      </c>
      <c r="Q129" t="str">
        <f t="shared" si="8"/>
        <v>Q3</v>
      </c>
      <c r="R129" s="5" t="str">
        <f t="shared" si="9"/>
        <v>Large</v>
      </c>
      <c r="S129" s="5" t="str">
        <f t="shared" si="10"/>
        <v>Pending</v>
      </c>
      <c r="T129" s="5" t="str">
        <f t="shared" si="11"/>
        <v>Yes</v>
      </c>
    </row>
    <row r="130" spans="1:20"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c r="O130">
        <f t="shared" ref="O130:O193" si="12">E130*F130</f>
        <v>84.28</v>
      </c>
      <c r="P130" t="str">
        <f t="shared" ref="P130:P193" si="13">TEXT(B130, "mmm")</f>
        <v>Feb</v>
      </c>
      <c r="Q130" t="str">
        <f t="shared" ref="Q130:Q193" si="14">"Q"&amp;ROUNDUP(MONTH(B130)/3,0)</f>
        <v>Q1</v>
      </c>
      <c r="R130" s="5" t="str">
        <f t="shared" ref="R130:R193" si="15">IF(N130&lt;100,"Small", IF(N130&lt;500, "Medium", "Large"))</f>
        <v>Small</v>
      </c>
      <c r="S130" s="5" t="str">
        <f t="shared" ref="S130:S193" si="16">IF(I130="Delivered","Completed","Pending")</f>
        <v>Completed</v>
      </c>
      <c r="T130" s="5" t="str">
        <f t="shared" ref="T130:T193" si="17">IF(L130="","No", "Yes")</f>
        <v>Yes</v>
      </c>
    </row>
    <row r="131" spans="1:20"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c r="O131">
        <f t="shared" si="12"/>
        <v>1055.72</v>
      </c>
      <c r="P131" t="str">
        <f t="shared" si="13"/>
        <v>Oct</v>
      </c>
      <c r="Q131" t="str">
        <f t="shared" si="14"/>
        <v>Q4</v>
      </c>
      <c r="R131" s="5" t="str">
        <f t="shared" si="15"/>
        <v>Large</v>
      </c>
      <c r="S131" s="5" t="str">
        <f t="shared" si="16"/>
        <v>Pending</v>
      </c>
      <c r="T131" s="5" t="str">
        <f t="shared" si="17"/>
        <v>Yes</v>
      </c>
    </row>
    <row r="132" spans="1:20"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c r="O132">
        <f t="shared" si="12"/>
        <v>1503.9</v>
      </c>
      <c r="P132" t="str">
        <f t="shared" si="13"/>
        <v>Jan</v>
      </c>
      <c r="Q132" t="str">
        <f t="shared" si="14"/>
        <v>Q1</v>
      </c>
      <c r="R132" s="5" t="str">
        <f t="shared" si="15"/>
        <v>Large</v>
      </c>
      <c r="S132" s="5" t="str">
        <f t="shared" si="16"/>
        <v>Pending</v>
      </c>
      <c r="T132" s="5" t="str">
        <f t="shared" si="17"/>
        <v>Yes</v>
      </c>
    </row>
    <row r="133" spans="1:20" x14ac:dyDescent="0.35">
      <c r="A133" t="s">
        <v>145</v>
      </c>
      <c r="B133" s="2">
        <v>44934</v>
      </c>
      <c r="C133" t="s">
        <v>1345</v>
      </c>
      <c r="D133" t="s">
        <v>2405</v>
      </c>
      <c r="E133">
        <v>1</v>
      </c>
      <c r="F133">
        <v>84.8</v>
      </c>
      <c r="G133" t="s">
        <v>2533</v>
      </c>
      <c r="H133" t="s">
        <v>3068</v>
      </c>
      <c r="I133" t="s">
        <v>3074</v>
      </c>
      <c r="J133" t="s">
        <v>3206</v>
      </c>
      <c r="K133">
        <v>5</v>
      </c>
      <c r="L133" t="s">
        <v>4329</v>
      </c>
      <c r="M133" t="s">
        <v>4278</v>
      </c>
      <c r="N133">
        <v>84.8</v>
      </c>
      <c r="O133">
        <f t="shared" si="12"/>
        <v>84.8</v>
      </c>
      <c r="P133" t="str">
        <f t="shared" si="13"/>
        <v>Jan</v>
      </c>
      <c r="Q133" t="str">
        <f t="shared" si="14"/>
        <v>Q1</v>
      </c>
      <c r="R133" s="5" t="str">
        <f t="shared" si="15"/>
        <v>Small</v>
      </c>
      <c r="S133" s="5" t="str">
        <f t="shared" si="16"/>
        <v>Pending</v>
      </c>
      <c r="T133" s="5" t="str">
        <f t="shared" si="17"/>
        <v>Yes</v>
      </c>
    </row>
    <row r="134" spans="1:20"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c r="O134">
        <f t="shared" si="12"/>
        <v>1803</v>
      </c>
      <c r="P134" t="str">
        <f t="shared" si="13"/>
        <v>Mar</v>
      </c>
      <c r="Q134" t="str">
        <f t="shared" si="14"/>
        <v>Q1</v>
      </c>
      <c r="R134" s="5" t="str">
        <f t="shared" si="15"/>
        <v>Large</v>
      </c>
      <c r="S134" s="5" t="str">
        <f t="shared" si="16"/>
        <v>Pending</v>
      </c>
      <c r="T134" s="5" t="str">
        <f t="shared" si="17"/>
        <v>Yes</v>
      </c>
    </row>
    <row r="135" spans="1:20"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c r="O135">
        <f t="shared" si="12"/>
        <v>1208.2</v>
      </c>
      <c r="P135" t="str">
        <f t="shared" si="13"/>
        <v>Jun</v>
      </c>
      <c r="Q135" t="str">
        <f t="shared" si="14"/>
        <v>Q2</v>
      </c>
      <c r="R135" s="5" t="str">
        <f t="shared" si="15"/>
        <v>Large</v>
      </c>
      <c r="S135" s="5" t="str">
        <f t="shared" si="16"/>
        <v>Pending</v>
      </c>
      <c r="T135" s="5" t="str">
        <f t="shared" si="17"/>
        <v>Yes</v>
      </c>
    </row>
    <row r="136" spans="1:20" x14ac:dyDescent="0.35">
      <c r="A136" t="s">
        <v>148</v>
      </c>
      <c r="B136" s="2">
        <v>45831</v>
      </c>
      <c r="C136" t="s">
        <v>1348</v>
      </c>
      <c r="D136" t="s">
        <v>2408</v>
      </c>
      <c r="E136">
        <v>2</v>
      </c>
      <c r="F136">
        <v>199.7</v>
      </c>
      <c r="G136" t="s">
        <v>2534</v>
      </c>
      <c r="H136" t="s">
        <v>3069</v>
      </c>
      <c r="I136" t="s">
        <v>3074</v>
      </c>
      <c r="J136" t="s">
        <v>3209</v>
      </c>
      <c r="K136">
        <v>4</v>
      </c>
      <c r="L136" t="s">
        <v>4329</v>
      </c>
      <c r="M136" t="s">
        <v>4280</v>
      </c>
      <c r="N136">
        <v>399.4</v>
      </c>
      <c r="O136">
        <f t="shared" si="12"/>
        <v>399.4</v>
      </c>
      <c r="P136" t="str">
        <f t="shared" si="13"/>
        <v>Jun</v>
      </c>
      <c r="Q136" t="str">
        <f t="shared" si="14"/>
        <v>Q2</v>
      </c>
      <c r="R136" s="5" t="str">
        <f t="shared" si="15"/>
        <v>Medium</v>
      </c>
      <c r="S136" s="5" t="str">
        <f t="shared" si="16"/>
        <v>Pending</v>
      </c>
      <c r="T136" s="5" t="str">
        <f t="shared" si="17"/>
        <v>Yes</v>
      </c>
    </row>
    <row r="137" spans="1:20"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c r="O137">
        <f t="shared" si="12"/>
        <v>137.62</v>
      </c>
      <c r="P137" t="str">
        <f t="shared" si="13"/>
        <v>Aug</v>
      </c>
      <c r="Q137" t="str">
        <f t="shared" si="14"/>
        <v>Q3</v>
      </c>
      <c r="R137" s="5" t="str">
        <f t="shared" si="15"/>
        <v>Medium</v>
      </c>
      <c r="S137" s="5" t="str">
        <f t="shared" si="16"/>
        <v>Pending</v>
      </c>
      <c r="T137" s="5" t="str">
        <f t="shared" si="17"/>
        <v>Yes</v>
      </c>
    </row>
    <row r="138" spans="1:20"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c r="O138">
        <f t="shared" si="12"/>
        <v>44.35</v>
      </c>
      <c r="P138" t="str">
        <f t="shared" si="13"/>
        <v>Apr</v>
      </c>
      <c r="Q138" t="str">
        <f t="shared" si="14"/>
        <v>Q2</v>
      </c>
      <c r="R138" s="5" t="str">
        <f t="shared" si="15"/>
        <v>Small</v>
      </c>
      <c r="S138" s="5" t="str">
        <f t="shared" si="16"/>
        <v>Pending</v>
      </c>
      <c r="T138" s="5" t="str">
        <f t="shared" si="17"/>
        <v>Yes</v>
      </c>
    </row>
    <row r="139" spans="1:20" x14ac:dyDescent="0.35">
      <c r="A139" t="s">
        <v>151</v>
      </c>
      <c r="B139" s="2">
        <v>45622</v>
      </c>
      <c r="C139" t="s">
        <v>1351</v>
      </c>
      <c r="D139" t="s">
        <v>2403</v>
      </c>
      <c r="E139">
        <v>2</v>
      </c>
      <c r="F139">
        <v>250.98</v>
      </c>
      <c r="G139" t="s">
        <v>2538</v>
      </c>
      <c r="H139" t="s">
        <v>3067</v>
      </c>
      <c r="I139" t="s">
        <v>3073</v>
      </c>
      <c r="J139" t="s">
        <v>3212</v>
      </c>
      <c r="K139">
        <v>5</v>
      </c>
      <c r="L139" t="s">
        <v>4329</v>
      </c>
      <c r="M139" t="s">
        <v>4282</v>
      </c>
      <c r="N139">
        <v>501.96</v>
      </c>
      <c r="O139">
        <f t="shared" si="12"/>
        <v>501.96</v>
      </c>
      <c r="P139" t="str">
        <f t="shared" si="13"/>
        <v>Nov</v>
      </c>
      <c r="Q139" t="str">
        <f t="shared" si="14"/>
        <v>Q4</v>
      </c>
      <c r="R139" s="5" t="str">
        <f t="shared" si="15"/>
        <v>Large</v>
      </c>
      <c r="S139" s="5" t="str">
        <f t="shared" si="16"/>
        <v>Completed</v>
      </c>
      <c r="T139" s="5" t="str">
        <f t="shared" si="17"/>
        <v>Yes</v>
      </c>
    </row>
    <row r="140" spans="1:20"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c r="O140">
        <f t="shared" si="12"/>
        <v>298.06</v>
      </c>
      <c r="P140" t="str">
        <f t="shared" si="13"/>
        <v>Dec</v>
      </c>
      <c r="Q140" t="str">
        <f t="shared" si="14"/>
        <v>Q4</v>
      </c>
      <c r="R140" s="5" t="str">
        <f t="shared" si="15"/>
        <v>Medium</v>
      </c>
      <c r="S140" s="5" t="str">
        <f t="shared" si="16"/>
        <v>Pending</v>
      </c>
      <c r="T140" s="5" t="str">
        <f t="shared" si="17"/>
        <v>Yes</v>
      </c>
    </row>
    <row r="141" spans="1:20" x14ac:dyDescent="0.35">
      <c r="A141" t="s">
        <v>153</v>
      </c>
      <c r="B141" s="2">
        <v>45026</v>
      </c>
      <c r="C141" t="s">
        <v>1353</v>
      </c>
      <c r="D141" t="s">
        <v>2404</v>
      </c>
      <c r="E141">
        <v>1</v>
      </c>
      <c r="F141">
        <v>583.9</v>
      </c>
      <c r="G141" t="s">
        <v>2540</v>
      </c>
      <c r="H141" t="s">
        <v>3069</v>
      </c>
      <c r="I141" t="s">
        <v>3072</v>
      </c>
      <c r="J141" t="s">
        <v>3214</v>
      </c>
      <c r="K141">
        <v>1</v>
      </c>
      <c r="L141" t="s">
        <v>4329</v>
      </c>
      <c r="M141" t="s">
        <v>4280</v>
      </c>
      <c r="N141">
        <v>583.9</v>
      </c>
      <c r="O141">
        <f t="shared" si="12"/>
        <v>583.9</v>
      </c>
      <c r="P141" t="str">
        <f t="shared" si="13"/>
        <v>Apr</v>
      </c>
      <c r="Q141" t="str">
        <f t="shared" si="14"/>
        <v>Q2</v>
      </c>
      <c r="R141" s="5" t="str">
        <f t="shared" si="15"/>
        <v>Large</v>
      </c>
      <c r="S141" s="5" t="str">
        <f t="shared" si="16"/>
        <v>Pending</v>
      </c>
      <c r="T141" s="5" t="str">
        <f t="shared" si="17"/>
        <v>Yes</v>
      </c>
    </row>
    <row r="142" spans="1:20"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c r="O142">
        <f t="shared" si="12"/>
        <v>1584.42</v>
      </c>
      <c r="P142" t="str">
        <f t="shared" si="13"/>
        <v>May</v>
      </c>
      <c r="Q142" t="str">
        <f t="shared" si="14"/>
        <v>Q2</v>
      </c>
      <c r="R142" s="5" t="str">
        <f t="shared" si="15"/>
        <v>Large</v>
      </c>
      <c r="S142" s="5" t="str">
        <f t="shared" si="16"/>
        <v>Completed</v>
      </c>
      <c r="T142" s="5" t="str">
        <f t="shared" si="17"/>
        <v>Yes</v>
      </c>
    </row>
    <row r="143" spans="1:20"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c r="O143">
        <f t="shared" si="12"/>
        <v>2052.42</v>
      </c>
      <c r="P143" t="str">
        <f t="shared" si="13"/>
        <v>Nov</v>
      </c>
      <c r="Q143" t="str">
        <f t="shared" si="14"/>
        <v>Q4</v>
      </c>
      <c r="R143" s="5" t="str">
        <f t="shared" si="15"/>
        <v>Large</v>
      </c>
      <c r="S143" s="5" t="str">
        <f t="shared" si="16"/>
        <v>Pending</v>
      </c>
      <c r="T143" s="5" t="str">
        <f t="shared" si="17"/>
        <v>Yes</v>
      </c>
    </row>
    <row r="144" spans="1:20"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c r="O144">
        <f t="shared" si="12"/>
        <v>1363.85</v>
      </c>
      <c r="P144" t="str">
        <f t="shared" si="13"/>
        <v>Sep</v>
      </c>
      <c r="Q144" t="str">
        <f t="shared" si="14"/>
        <v>Q3</v>
      </c>
      <c r="R144" s="5" t="str">
        <f t="shared" si="15"/>
        <v>Large</v>
      </c>
      <c r="S144" s="5" t="str">
        <f t="shared" si="16"/>
        <v>Pending</v>
      </c>
      <c r="T144" s="5" t="str">
        <f t="shared" si="17"/>
        <v>Yes</v>
      </c>
    </row>
    <row r="145" spans="1:20" x14ac:dyDescent="0.35">
      <c r="A145" t="s">
        <v>157</v>
      </c>
      <c r="B145" s="2">
        <v>45456</v>
      </c>
      <c r="C145" t="s">
        <v>1357</v>
      </c>
      <c r="D145" t="s">
        <v>2406</v>
      </c>
      <c r="E145">
        <v>4</v>
      </c>
      <c r="F145">
        <v>400.07</v>
      </c>
      <c r="G145" t="s">
        <v>2543</v>
      </c>
      <c r="H145" t="s">
        <v>3066</v>
      </c>
      <c r="I145" t="s">
        <v>3070</v>
      </c>
      <c r="J145" t="s">
        <v>3218</v>
      </c>
      <c r="K145">
        <v>5</v>
      </c>
      <c r="L145" t="s">
        <v>4329</v>
      </c>
      <c r="M145" t="s">
        <v>4279</v>
      </c>
      <c r="N145">
        <v>1600.28</v>
      </c>
      <c r="O145">
        <f t="shared" si="12"/>
        <v>1600.28</v>
      </c>
      <c r="P145" t="str">
        <f t="shared" si="13"/>
        <v>Jun</v>
      </c>
      <c r="Q145" t="str">
        <f t="shared" si="14"/>
        <v>Q2</v>
      </c>
      <c r="R145" s="5" t="str">
        <f t="shared" si="15"/>
        <v>Large</v>
      </c>
      <c r="S145" s="5" t="str">
        <f t="shared" si="16"/>
        <v>Pending</v>
      </c>
      <c r="T145" s="5" t="str">
        <f t="shared" si="17"/>
        <v>Yes</v>
      </c>
    </row>
    <row r="146" spans="1:20" x14ac:dyDescent="0.35">
      <c r="A146" t="s">
        <v>158</v>
      </c>
      <c r="B146" s="2">
        <v>45142</v>
      </c>
      <c r="C146" t="s">
        <v>1358</v>
      </c>
      <c r="D146" t="s">
        <v>2409</v>
      </c>
      <c r="E146">
        <v>5</v>
      </c>
      <c r="F146">
        <v>219.78</v>
      </c>
      <c r="G146" t="s">
        <v>2440</v>
      </c>
      <c r="H146" t="s">
        <v>3067</v>
      </c>
      <c r="I146" t="s">
        <v>3074</v>
      </c>
      <c r="J146" t="s">
        <v>3219</v>
      </c>
      <c r="K146">
        <v>8</v>
      </c>
      <c r="L146" t="s">
        <v>4329</v>
      </c>
      <c r="M146" t="s">
        <v>4281</v>
      </c>
      <c r="N146">
        <v>1098.9000000000001</v>
      </c>
      <c r="O146">
        <f t="shared" si="12"/>
        <v>1098.9000000000001</v>
      </c>
      <c r="P146" t="str">
        <f t="shared" si="13"/>
        <v>Aug</v>
      </c>
      <c r="Q146" t="str">
        <f t="shared" si="14"/>
        <v>Q3</v>
      </c>
      <c r="R146" s="5" t="str">
        <f t="shared" si="15"/>
        <v>Large</v>
      </c>
      <c r="S146" s="5" t="str">
        <f t="shared" si="16"/>
        <v>Pending</v>
      </c>
      <c r="T146" s="5" t="str">
        <f t="shared" si="17"/>
        <v>Yes</v>
      </c>
    </row>
    <row r="147" spans="1:20"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c r="O147">
        <f t="shared" si="12"/>
        <v>440.73</v>
      </c>
      <c r="P147" t="str">
        <f t="shared" si="13"/>
        <v>Mar</v>
      </c>
      <c r="Q147" t="str">
        <f t="shared" si="14"/>
        <v>Q1</v>
      </c>
      <c r="R147" s="5" t="str">
        <f t="shared" si="15"/>
        <v>Medium</v>
      </c>
      <c r="S147" s="5" t="str">
        <f t="shared" si="16"/>
        <v>Completed</v>
      </c>
      <c r="T147" s="5" t="str">
        <f t="shared" si="17"/>
        <v>Yes</v>
      </c>
    </row>
    <row r="148" spans="1:20" x14ac:dyDescent="0.35">
      <c r="A148" t="s">
        <v>160</v>
      </c>
      <c r="B148" s="2">
        <v>45777</v>
      </c>
      <c r="C148" t="s">
        <v>1360</v>
      </c>
      <c r="D148" t="s">
        <v>2405</v>
      </c>
      <c r="E148">
        <v>2</v>
      </c>
      <c r="F148">
        <v>411.49</v>
      </c>
      <c r="G148" t="s">
        <v>2545</v>
      </c>
      <c r="H148" t="s">
        <v>3067</v>
      </c>
      <c r="I148" t="s">
        <v>3072</v>
      </c>
      <c r="J148" t="s">
        <v>3221</v>
      </c>
      <c r="K148">
        <v>4</v>
      </c>
      <c r="L148" t="s">
        <v>4329</v>
      </c>
      <c r="M148" t="s">
        <v>4278</v>
      </c>
      <c r="N148">
        <v>822.98</v>
      </c>
      <c r="O148">
        <f t="shared" si="12"/>
        <v>822.98</v>
      </c>
      <c r="P148" t="str">
        <f t="shared" si="13"/>
        <v>Apr</v>
      </c>
      <c r="Q148" t="str">
        <f t="shared" si="14"/>
        <v>Q2</v>
      </c>
      <c r="R148" s="5" t="str">
        <f t="shared" si="15"/>
        <v>Large</v>
      </c>
      <c r="S148" s="5" t="str">
        <f t="shared" si="16"/>
        <v>Pending</v>
      </c>
      <c r="T148" s="5" t="str">
        <f t="shared" si="17"/>
        <v>Yes</v>
      </c>
    </row>
    <row r="149" spans="1:20"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c r="O149">
        <f t="shared" si="12"/>
        <v>930.36</v>
      </c>
      <c r="P149" t="str">
        <f t="shared" si="13"/>
        <v>May</v>
      </c>
      <c r="Q149" t="str">
        <f t="shared" si="14"/>
        <v>Q2</v>
      </c>
      <c r="R149" s="5" t="str">
        <f t="shared" si="15"/>
        <v>Large</v>
      </c>
      <c r="S149" s="5" t="str">
        <f t="shared" si="16"/>
        <v>Pending</v>
      </c>
      <c r="T149" s="5" t="str">
        <f t="shared" si="17"/>
        <v>Yes</v>
      </c>
    </row>
    <row r="150" spans="1:20"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c r="O150">
        <f t="shared" si="12"/>
        <v>639.82000000000005</v>
      </c>
      <c r="P150" t="str">
        <f t="shared" si="13"/>
        <v>Dec</v>
      </c>
      <c r="Q150" t="str">
        <f t="shared" si="14"/>
        <v>Q4</v>
      </c>
      <c r="R150" s="5" t="str">
        <f t="shared" si="15"/>
        <v>Large</v>
      </c>
      <c r="S150" s="5" t="str">
        <f t="shared" si="16"/>
        <v>Pending</v>
      </c>
      <c r="T150" s="5" t="str">
        <f t="shared" si="17"/>
        <v>Yes</v>
      </c>
    </row>
    <row r="151" spans="1:20" x14ac:dyDescent="0.35">
      <c r="A151" t="s">
        <v>163</v>
      </c>
      <c r="B151" s="2">
        <v>45287</v>
      </c>
      <c r="C151" t="s">
        <v>1363</v>
      </c>
      <c r="D151" t="s">
        <v>2408</v>
      </c>
      <c r="E151">
        <v>1</v>
      </c>
      <c r="F151">
        <v>217.56</v>
      </c>
      <c r="G151" t="s">
        <v>2548</v>
      </c>
      <c r="H151" t="s">
        <v>3065</v>
      </c>
      <c r="I151" t="s">
        <v>3073</v>
      </c>
      <c r="J151" t="s">
        <v>3224</v>
      </c>
      <c r="K151">
        <v>3</v>
      </c>
      <c r="L151" t="s">
        <v>4329</v>
      </c>
      <c r="M151" t="s">
        <v>4281</v>
      </c>
      <c r="N151">
        <v>217.56</v>
      </c>
      <c r="O151">
        <f t="shared" si="12"/>
        <v>217.56</v>
      </c>
      <c r="P151" t="str">
        <f t="shared" si="13"/>
        <v>Dec</v>
      </c>
      <c r="Q151" t="str">
        <f t="shared" si="14"/>
        <v>Q4</v>
      </c>
      <c r="R151" s="5" t="str">
        <f t="shared" si="15"/>
        <v>Medium</v>
      </c>
      <c r="S151" s="5" t="str">
        <f t="shared" si="16"/>
        <v>Completed</v>
      </c>
      <c r="T151" s="5" t="str">
        <f t="shared" si="17"/>
        <v>Yes</v>
      </c>
    </row>
    <row r="152" spans="1:20"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c r="O152">
        <f t="shared" si="12"/>
        <v>211.14</v>
      </c>
      <c r="P152" t="str">
        <f t="shared" si="13"/>
        <v>Dec</v>
      </c>
      <c r="Q152" t="str">
        <f t="shared" si="14"/>
        <v>Q4</v>
      </c>
      <c r="R152" s="5" t="str">
        <f t="shared" si="15"/>
        <v>Medium</v>
      </c>
      <c r="S152" s="5" t="str">
        <f t="shared" si="16"/>
        <v>Pending</v>
      </c>
      <c r="T152" s="5" t="str">
        <f t="shared" si="17"/>
        <v>Yes</v>
      </c>
    </row>
    <row r="153" spans="1:20" x14ac:dyDescent="0.35">
      <c r="A153" t="s">
        <v>165</v>
      </c>
      <c r="B153" s="2">
        <v>45261</v>
      </c>
      <c r="C153" t="s">
        <v>1365</v>
      </c>
      <c r="D153" t="s">
        <v>2407</v>
      </c>
      <c r="E153">
        <v>5</v>
      </c>
      <c r="F153">
        <v>444.76</v>
      </c>
      <c r="G153" t="s">
        <v>2550</v>
      </c>
      <c r="H153" t="s">
        <v>3065</v>
      </c>
      <c r="I153" t="s">
        <v>3072</v>
      </c>
      <c r="J153" t="s">
        <v>3226</v>
      </c>
      <c r="K153">
        <v>7</v>
      </c>
      <c r="L153" t="s">
        <v>4329</v>
      </c>
      <c r="M153" t="s">
        <v>4280</v>
      </c>
      <c r="N153">
        <v>2223.8000000000002</v>
      </c>
      <c r="O153">
        <f t="shared" si="12"/>
        <v>2223.8000000000002</v>
      </c>
      <c r="P153" t="str">
        <f t="shared" si="13"/>
        <v>Dec</v>
      </c>
      <c r="Q153" t="str">
        <f t="shared" si="14"/>
        <v>Q4</v>
      </c>
      <c r="R153" s="5" t="str">
        <f t="shared" si="15"/>
        <v>Large</v>
      </c>
      <c r="S153" s="5" t="str">
        <f t="shared" si="16"/>
        <v>Pending</v>
      </c>
      <c r="T153" s="5" t="str">
        <f t="shared" si="17"/>
        <v>Yes</v>
      </c>
    </row>
    <row r="154" spans="1:20"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c r="O154">
        <f t="shared" si="12"/>
        <v>798.08</v>
      </c>
      <c r="P154" t="str">
        <f t="shared" si="13"/>
        <v>Jan</v>
      </c>
      <c r="Q154" t="str">
        <f t="shared" si="14"/>
        <v>Q1</v>
      </c>
      <c r="R154" s="5" t="str">
        <f t="shared" si="15"/>
        <v>Large</v>
      </c>
      <c r="S154" s="5" t="str">
        <f t="shared" si="16"/>
        <v>Pending</v>
      </c>
      <c r="T154" s="5" t="str">
        <f t="shared" si="17"/>
        <v>Yes</v>
      </c>
    </row>
    <row r="155" spans="1:20"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c r="O155">
        <f t="shared" si="12"/>
        <v>2137.92</v>
      </c>
      <c r="P155" t="str">
        <f t="shared" si="13"/>
        <v>Dec</v>
      </c>
      <c r="Q155" t="str">
        <f t="shared" si="14"/>
        <v>Q4</v>
      </c>
      <c r="R155" s="5" t="str">
        <f t="shared" si="15"/>
        <v>Large</v>
      </c>
      <c r="S155" s="5" t="str">
        <f t="shared" si="16"/>
        <v>Pending</v>
      </c>
      <c r="T155" s="5" t="str">
        <f t="shared" si="17"/>
        <v>Yes</v>
      </c>
    </row>
    <row r="156" spans="1:20" x14ac:dyDescent="0.35">
      <c r="A156" t="s">
        <v>168</v>
      </c>
      <c r="B156" s="2">
        <v>45127</v>
      </c>
      <c r="C156" t="s">
        <v>1368</v>
      </c>
      <c r="D156" t="s">
        <v>2404</v>
      </c>
      <c r="E156">
        <v>4</v>
      </c>
      <c r="F156">
        <v>408.21</v>
      </c>
      <c r="G156" t="s">
        <v>2525</v>
      </c>
      <c r="H156" t="s">
        <v>3067</v>
      </c>
      <c r="I156" t="s">
        <v>3074</v>
      </c>
      <c r="J156" t="s">
        <v>3229</v>
      </c>
      <c r="K156">
        <v>9</v>
      </c>
      <c r="L156" t="s">
        <v>4329</v>
      </c>
      <c r="M156" t="s">
        <v>4278</v>
      </c>
      <c r="N156">
        <v>1632.84</v>
      </c>
      <c r="O156">
        <f t="shared" si="12"/>
        <v>1632.84</v>
      </c>
      <c r="P156" t="str">
        <f t="shared" si="13"/>
        <v>Jul</v>
      </c>
      <c r="Q156" t="str">
        <f t="shared" si="14"/>
        <v>Q3</v>
      </c>
      <c r="R156" s="5" t="str">
        <f t="shared" si="15"/>
        <v>Large</v>
      </c>
      <c r="S156" s="5" t="str">
        <f t="shared" si="16"/>
        <v>Pending</v>
      </c>
      <c r="T156" s="5" t="str">
        <f t="shared" si="17"/>
        <v>Yes</v>
      </c>
    </row>
    <row r="157" spans="1:20"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c r="O157">
        <f t="shared" si="12"/>
        <v>424.4</v>
      </c>
      <c r="P157" t="str">
        <f t="shared" si="13"/>
        <v>Feb</v>
      </c>
      <c r="Q157" t="str">
        <f t="shared" si="14"/>
        <v>Q1</v>
      </c>
      <c r="R157" s="5" t="str">
        <f t="shared" si="15"/>
        <v>Medium</v>
      </c>
      <c r="S157" s="5" t="str">
        <f t="shared" si="16"/>
        <v>Pending</v>
      </c>
      <c r="T157" s="5" t="str">
        <f t="shared" si="17"/>
        <v>Yes</v>
      </c>
    </row>
    <row r="158" spans="1:20"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c r="O158">
        <f t="shared" si="12"/>
        <v>539.66</v>
      </c>
      <c r="P158" t="str">
        <f t="shared" si="13"/>
        <v>Nov</v>
      </c>
      <c r="Q158" t="str">
        <f t="shared" si="14"/>
        <v>Q4</v>
      </c>
      <c r="R158" s="5" t="str">
        <f t="shared" si="15"/>
        <v>Large</v>
      </c>
      <c r="S158" s="5" t="str">
        <f t="shared" si="16"/>
        <v>Completed</v>
      </c>
      <c r="T158" s="5" t="str">
        <f t="shared" si="17"/>
        <v>Yes</v>
      </c>
    </row>
    <row r="159" spans="1:20"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c r="O159">
        <f t="shared" si="12"/>
        <v>1129.1600000000001</v>
      </c>
      <c r="P159" t="str">
        <f t="shared" si="13"/>
        <v>Feb</v>
      </c>
      <c r="Q159" t="str">
        <f t="shared" si="14"/>
        <v>Q1</v>
      </c>
      <c r="R159" s="5" t="str">
        <f t="shared" si="15"/>
        <v>Large</v>
      </c>
      <c r="S159" s="5" t="str">
        <f t="shared" si="16"/>
        <v>Pending</v>
      </c>
      <c r="T159" s="5" t="str">
        <f t="shared" si="17"/>
        <v>Yes</v>
      </c>
    </row>
    <row r="160" spans="1:20"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c r="O160">
        <f t="shared" si="12"/>
        <v>331.06</v>
      </c>
      <c r="P160" t="str">
        <f t="shared" si="13"/>
        <v>May</v>
      </c>
      <c r="Q160" t="str">
        <f t="shared" si="14"/>
        <v>Q2</v>
      </c>
      <c r="R160" s="5" t="str">
        <f t="shared" si="15"/>
        <v>Medium</v>
      </c>
      <c r="S160" s="5" t="str">
        <f t="shared" si="16"/>
        <v>Pending</v>
      </c>
      <c r="T160" s="5" t="str">
        <f t="shared" si="17"/>
        <v>Yes</v>
      </c>
    </row>
    <row r="161" spans="1:20"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c r="O161">
        <f t="shared" si="12"/>
        <v>299.35000000000002</v>
      </c>
      <c r="P161" t="str">
        <f t="shared" si="13"/>
        <v>Oct</v>
      </c>
      <c r="Q161" t="str">
        <f t="shared" si="14"/>
        <v>Q4</v>
      </c>
      <c r="R161" s="5" t="str">
        <f t="shared" si="15"/>
        <v>Medium</v>
      </c>
      <c r="S161" s="5" t="str">
        <f t="shared" si="16"/>
        <v>Pending</v>
      </c>
      <c r="T161" s="5" t="str">
        <f t="shared" si="17"/>
        <v>Yes</v>
      </c>
    </row>
    <row r="162" spans="1:20" x14ac:dyDescent="0.35">
      <c r="A162" t="s">
        <v>174</v>
      </c>
      <c r="B162" s="2">
        <v>44974</v>
      </c>
      <c r="C162" t="s">
        <v>1374</v>
      </c>
      <c r="D162" t="s">
        <v>2403</v>
      </c>
      <c r="E162">
        <v>4</v>
      </c>
      <c r="F162">
        <v>101.32</v>
      </c>
      <c r="G162" t="s">
        <v>2556</v>
      </c>
      <c r="H162" t="s">
        <v>3069</v>
      </c>
      <c r="I162" t="s">
        <v>3074</v>
      </c>
      <c r="J162" t="s">
        <v>3235</v>
      </c>
      <c r="K162">
        <v>7</v>
      </c>
      <c r="L162" t="s">
        <v>4329</v>
      </c>
      <c r="M162" t="s">
        <v>4279</v>
      </c>
      <c r="N162">
        <v>405.28</v>
      </c>
      <c r="O162">
        <f t="shared" si="12"/>
        <v>405.28</v>
      </c>
      <c r="P162" t="str">
        <f t="shared" si="13"/>
        <v>Feb</v>
      </c>
      <c r="Q162" t="str">
        <f t="shared" si="14"/>
        <v>Q1</v>
      </c>
      <c r="R162" s="5" t="str">
        <f t="shared" si="15"/>
        <v>Medium</v>
      </c>
      <c r="S162" s="5" t="str">
        <f t="shared" si="16"/>
        <v>Pending</v>
      </c>
      <c r="T162" s="5" t="str">
        <f t="shared" si="17"/>
        <v>Yes</v>
      </c>
    </row>
    <row r="163" spans="1:20"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c r="O163">
        <f t="shared" si="12"/>
        <v>211.14</v>
      </c>
      <c r="P163" t="str">
        <f t="shared" si="13"/>
        <v>Mar</v>
      </c>
      <c r="Q163" t="str">
        <f t="shared" si="14"/>
        <v>Q1</v>
      </c>
      <c r="R163" s="5" t="str">
        <f t="shared" si="15"/>
        <v>Medium</v>
      </c>
      <c r="S163" s="5" t="str">
        <f t="shared" si="16"/>
        <v>Pending</v>
      </c>
      <c r="T163" s="5" t="str">
        <f t="shared" si="17"/>
        <v>Yes</v>
      </c>
    </row>
    <row r="164" spans="1:20"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c r="O164">
        <f t="shared" si="12"/>
        <v>197.57999999999998</v>
      </c>
      <c r="P164" t="str">
        <f t="shared" si="13"/>
        <v>Jul</v>
      </c>
      <c r="Q164" t="str">
        <f t="shared" si="14"/>
        <v>Q3</v>
      </c>
      <c r="R164" s="5" t="str">
        <f t="shared" si="15"/>
        <v>Medium</v>
      </c>
      <c r="S164" s="5" t="str">
        <f t="shared" si="16"/>
        <v>Pending</v>
      </c>
      <c r="T164" s="5" t="str">
        <f t="shared" si="17"/>
        <v>Yes</v>
      </c>
    </row>
    <row r="165" spans="1:20" x14ac:dyDescent="0.35">
      <c r="A165" t="s">
        <v>177</v>
      </c>
      <c r="B165" s="2">
        <v>45832</v>
      </c>
      <c r="C165" t="s">
        <v>1377</v>
      </c>
      <c r="D165" t="s">
        <v>2405</v>
      </c>
      <c r="E165">
        <v>1</v>
      </c>
      <c r="F165">
        <v>641.39</v>
      </c>
      <c r="G165" t="s">
        <v>2557</v>
      </c>
      <c r="H165" t="s">
        <v>3066</v>
      </c>
      <c r="I165" t="s">
        <v>3071</v>
      </c>
      <c r="J165" t="s">
        <v>3238</v>
      </c>
      <c r="K165">
        <v>1</v>
      </c>
      <c r="L165" t="s">
        <v>4329</v>
      </c>
      <c r="M165" t="s">
        <v>4279</v>
      </c>
      <c r="N165">
        <v>641.39</v>
      </c>
      <c r="O165">
        <f t="shared" si="12"/>
        <v>641.39</v>
      </c>
      <c r="P165" t="str">
        <f t="shared" si="13"/>
        <v>Jun</v>
      </c>
      <c r="Q165" t="str">
        <f t="shared" si="14"/>
        <v>Q2</v>
      </c>
      <c r="R165" s="5" t="str">
        <f t="shared" si="15"/>
        <v>Large</v>
      </c>
      <c r="S165" s="5" t="str">
        <f t="shared" si="16"/>
        <v>Pending</v>
      </c>
      <c r="T165" s="5" t="str">
        <f t="shared" si="17"/>
        <v>Yes</v>
      </c>
    </row>
    <row r="166" spans="1:20"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c r="O166">
        <f t="shared" si="12"/>
        <v>2682.9</v>
      </c>
      <c r="P166" t="str">
        <f t="shared" si="13"/>
        <v>Dec</v>
      </c>
      <c r="Q166" t="str">
        <f t="shared" si="14"/>
        <v>Q4</v>
      </c>
      <c r="R166" s="5" t="str">
        <f t="shared" si="15"/>
        <v>Large</v>
      </c>
      <c r="S166" s="5" t="str">
        <f t="shared" si="16"/>
        <v>Pending</v>
      </c>
      <c r="T166" s="5" t="str">
        <f t="shared" si="17"/>
        <v>Yes</v>
      </c>
    </row>
    <row r="167" spans="1:20"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c r="O167">
        <f t="shared" si="12"/>
        <v>1000.58</v>
      </c>
      <c r="P167" t="str">
        <f t="shared" si="13"/>
        <v>Sep</v>
      </c>
      <c r="Q167" t="str">
        <f t="shared" si="14"/>
        <v>Q3</v>
      </c>
      <c r="R167" s="5" t="str">
        <f t="shared" si="15"/>
        <v>Large</v>
      </c>
      <c r="S167" s="5" t="str">
        <f t="shared" si="16"/>
        <v>Pending</v>
      </c>
      <c r="T167" s="5" t="str">
        <f t="shared" si="17"/>
        <v>Yes</v>
      </c>
    </row>
    <row r="168" spans="1:20"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c r="O168">
        <f t="shared" si="12"/>
        <v>258.87</v>
      </c>
      <c r="P168" t="str">
        <f t="shared" si="13"/>
        <v>Mar</v>
      </c>
      <c r="Q168" t="str">
        <f t="shared" si="14"/>
        <v>Q1</v>
      </c>
      <c r="R168" s="5" t="str">
        <f t="shared" si="15"/>
        <v>Medium</v>
      </c>
      <c r="S168" s="5" t="str">
        <f t="shared" si="16"/>
        <v>Completed</v>
      </c>
      <c r="T168" s="5" t="str">
        <f t="shared" si="17"/>
        <v>Yes</v>
      </c>
    </row>
    <row r="169" spans="1:20"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c r="O169">
        <f t="shared" si="12"/>
        <v>768.28</v>
      </c>
      <c r="P169" t="str">
        <f t="shared" si="13"/>
        <v>May</v>
      </c>
      <c r="Q169" t="str">
        <f t="shared" si="14"/>
        <v>Q2</v>
      </c>
      <c r="R169" s="5" t="str">
        <f t="shared" si="15"/>
        <v>Large</v>
      </c>
      <c r="S169" s="5" t="str">
        <f t="shared" si="16"/>
        <v>Pending</v>
      </c>
      <c r="T169" s="5" t="str">
        <f t="shared" si="17"/>
        <v>Yes</v>
      </c>
    </row>
    <row r="170" spans="1:20" x14ac:dyDescent="0.35">
      <c r="A170" t="s">
        <v>182</v>
      </c>
      <c r="B170" s="2">
        <v>45661</v>
      </c>
      <c r="C170" t="s">
        <v>1382</v>
      </c>
      <c r="D170" t="s">
        <v>2407</v>
      </c>
      <c r="E170">
        <v>1</v>
      </c>
      <c r="F170">
        <v>594.96</v>
      </c>
      <c r="G170" t="s">
        <v>2561</v>
      </c>
      <c r="H170" t="s">
        <v>3069</v>
      </c>
      <c r="I170" t="s">
        <v>3072</v>
      </c>
      <c r="J170" t="s">
        <v>3243</v>
      </c>
      <c r="K170">
        <v>6</v>
      </c>
      <c r="L170" t="s">
        <v>4329</v>
      </c>
      <c r="M170" t="s">
        <v>4281</v>
      </c>
      <c r="N170">
        <v>594.96</v>
      </c>
      <c r="O170">
        <f t="shared" si="12"/>
        <v>594.96</v>
      </c>
      <c r="P170" t="str">
        <f t="shared" si="13"/>
        <v>Jan</v>
      </c>
      <c r="Q170" t="str">
        <f t="shared" si="14"/>
        <v>Q1</v>
      </c>
      <c r="R170" s="5" t="str">
        <f t="shared" si="15"/>
        <v>Large</v>
      </c>
      <c r="S170" s="5" t="str">
        <f t="shared" si="16"/>
        <v>Pending</v>
      </c>
      <c r="T170" s="5" t="str">
        <f t="shared" si="17"/>
        <v>Yes</v>
      </c>
    </row>
    <row r="171" spans="1:20"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c r="O171">
        <f t="shared" si="12"/>
        <v>427.82</v>
      </c>
      <c r="P171" t="str">
        <f t="shared" si="13"/>
        <v>Apr</v>
      </c>
      <c r="Q171" t="str">
        <f t="shared" si="14"/>
        <v>Q2</v>
      </c>
      <c r="R171" s="5" t="str">
        <f t="shared" si="15"/>
        <v>Medium</v>
      </c>
      <c r="S171" s="5" t="str">
        <f t="shared" si="16"/>
        <v>Completed</v>
      </c>
      <c r="T171" s="5" t="str">
        <f t="shared" si="17"/>
        <v>Yes</v>
      </c>
    </row>
    <row r="172" spans="1:20"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c r="O172">
        <f t="shared" si="12"/>
        <v>2651.76</v>
      </c>
      <c r="P172" t="str">
        <f t="shared" si="13"/>
        <v>Apr</v>
      </c>
      <c r="Q172" t="str">
        <f t="shared" si="14"/>
        <v>Q2</v>
      </c>
      <c r="R172" s="5" t="str">
        <f t="shared" si="15"/>
        <v>Large</v>
      </c>
      <c r="S172" s="5" t="str">
        <f t="shared" si="16"/>
        <v>Pending</v>
      </c>
      <c r="T172" s="5" t="str">
        <f t="shared" si="17"/>
        <v>Yes</v>
      </c>
    </row>
    <row r="173" spans="1:20"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c r="O173">
        <f t="shared" si="12"/>
        <v>296.44</v>
      </c>
      <c r="P173" t="str">
        <f t="shared" si="13"/>
        <v>Aug</v>
      </c>
      <c r="Q173" t="str">
        <f t="shared" si="14"/>
        <v>Q3</v>
      </c>
      <c r="R173" s="5" t="str">
        <f t="shared" si="15"/>
        <v>Medium</v>
      </c>
      <c r="S173" s="5" t="str">
        <f t="shared" si="16"/>
        <v>Completed</v>
      </c>
      <c r="T173" s="5" t="str">
        <f t="shared" si="17"/>
        <v>Yes</v>
      </c>
    </row>
    <row r="174" spans="1:20"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c r="O174">
        <f t="shared" si="12"/>
        <v>254.12</v>
      </c>
      <c r="P174" t="str">
        <f t="shared" si="13"/>
        <v>Apr</v>
      </c>
      <c r="Q174" t="str">
        <f t="shared" si="14"/>
        <v>Q2</v>
      </c>
      <c r="R174" s="5" t="str">
        <f t="shared" si="15"/>
        <v>Medium</v>
      </c>
      <c r="S174" s="5" t="str">
        <f t="shared" si="16"/>
        <v>Completed</v>
      </c>
      <c r="T174" s="5" t="str">
        <f t="shared" si="17"/>
        <v>Yes</v>
      </c>
    </row>
    <row r="175" spans="1:20"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c r="O175">
        <f t="shared" si="12"/>
        <v>1993.38</v>
      </c>
      <c r="P175" t="str">
        <f t="shared" si="13"/>
        <v>Mar</v>
      </c>
      <c r="Q175" t="str">
        <f t="shared" si="14"/>
        <v>Q1</v>
      </c>
      <c r="R175" s="5" t="str">
        <f t="shared" si="15"/>
        <v>Large</v>
      </c>
      <c r="S175" s="5" t="str">
        <f t="shared" si="16"/>
        <v>Completed</v>
      </c>
      <c r="T175" s="5" t="str">
        <f t="shared" si="17"/>
        <v>Yes</v>
      </c>
    </row>
    <row r="176" spans="1:20"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c r="O176">
        <f t="shared" si="12"/>
        <v>2403.2399999999998</v>
      </c>
      <c r="P176" t="str">
        <f t="shared" si="13"/>
        <v>Apr</v>
      </c>
      <c r="Q176" t="str">
        <f t="shared" si="14"/>
        <v>Q2</v>
      </c>
      <c r="R176" s="5" t="str">
        <f t="shared" si="15"/>
        <v>Large</v>
      </c>
      <c r="S176" s="5" t="str">
        <f t="shared" si="16"/>
        <v>Completed</v>
      </c>
      <c r="T176" s="5" t="str">
        <f t="shared" si="17"/>
        <v>Yes</v>
      </c>
    </row>
    <row r="177" spans="1:20"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c r="O177">
        <f t="shared" si="12"/>
        <v>341.70000000000005</v>
      </c>
      <c r="P177" t="str">
        <f t="shared" si="13"/>
        <v>Feb</v>
      </c>
      <c r="Q177" t="str">
        <f t="shared" si="14"/>
        <v>Q1</v>
      </c>
      <c r="R177" s="5" t="str">
        <f t="shared" si="15"/>
        <v>Medium</v>
      </c>
      <c r="S177" s="5" t="str">
        <f t="shared" si="16"/>
        <v>Pending</v>
      </c>
      <c r="T177" s="5" t="str">
        <f t="shared" si="17"/>
        <v>Yes</v>
      </c>
    </row>
    <row r="178" spans="1:20"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c r="O178">
        <f t="shared" si="12"/>
        <v>1723.32</v>
      </c>
      <c r="P178" t="str">
        <f t="shared" si="13"/>
        <v>Jun</v>
      </c>
      <c r="Q178" t="str">
        <f t="shared" si="14"/>
        <v>Q2</v>
      </c>
      <c r="R178" s="5" t="str">
        <f t="shared" si="15"/>
        <v>Large</v>
      </c>
      <c r="S178" s="5" t="str">
        <f t="shared" si="16"/>
        <v>Pending</v>
      </c>
      <c r="T178" s="5" t="str">
        <f t="shared" si="17"/>
        <v>Yes</v>
      </c>
    </row>
    <row r="179" spans="1:20" x14ac:dyDescent="0.35">
      <c r="A179" t="s">
        <v>191</v>
      </c>
      <c r="B179" s="2">
        <v>45143</v>
      </c>
      <c r="C179" t="s">
        <v>1391</v>
      </c>
      <c r="D179" t="s">
        <v>2406</v>
      </c>
      <c r="E179">
        <v>5</v>
      </c>
      <c r="F179">
        <v>431.69</v>
      </c>
      <c r="G179" t="s">
        <v>2569</v>
      </c>
      <c r="H179" t="s">
        <v>3067</v>
      </c>
      <c r="I179" t="s">
        <v>3074</v>
      </c>
      <c r="J179" t="s">
        <v>3252</v>
      </c>
      <c r="K179">
        <v>10</v>
      </c>
      <c r="L179" t="s">
        <v>4329</v>
      </c>
      <c r="M179" t="s">
        <v>4281</v>
      </c>
      <c r="N179">
        <v>2158.4499999999998</v>
      </c>
      <c r="O179">
        <f t="shared" si="12"/>
        <v>2158.4499999999998</v>
      </c>
      <c r="P179" t="str">
        <f t="shared" si="13"/>
        <v>Aug</v>
      </c>
      <c r="Q179" t="str">
        <f t="shared" si="14"/>
        <v>Q3</v>
      </c>
      <c r="R179" s="5" t="str">
        <f t="shared" si="15"/>
        <v>Large</v>
      </c>
      <c r="S179" s="5" t="str">
        <f t="shared" si="16"/>
        <v>Pending</v>
      </c>
      <c r="T179" s="5" t="str">
        <f t="shared" si="17"/>
        <v>Yes</v>
      </c>
    </row>
    <row r="180" spans="1:20"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c r="O180">
        <f t="shared" si="12"/>
        <v>2048.2399999999998</v>
      </c>
      <c r="P180" t="str">
        <f t="shared" si="13"/>
        <v>Apr</v>
      </c>
      <c r="Q180" t="str">
        <f t="shared" si="14"/>
        <v>Q2</v>
      </c>
      <c r="R180" s="5" t="str">
        <f t="shared" si="15"/>
        <v>Large</v>
      </c>
      <c r="S180" s="5" t="str">
        <f t="shared" si="16"/>
        <v>Completed</v>
      </c>
      <c r="T180" s="5" t="str">
        <f t="shared" si="17"/>
        <v>Yes</v>
      </c>
    </row>
    <row r="181" spans="1:20" x14ac:dyDescent="0.35">
      <c r="A181" t="s">
        <v>193</v>
      </c>
      <c r="B181" s="2">
        <v>45620</v>
      </c>
      <c r="C181" t="s">
        <v>1393</v>
      </c>
      <c r="D181" t="s">
        <v>2408</v>
      </c>
      <c r="E181">
        <v>3</v>
      </c>
      <c r="F181">
        <v>539.91</v>
      </c>
      <c r="G181" t="s">
        <v>2571</v>
      </c>
      <c r="H181" t="s">
        <v>3067</v>
      </c>
      <c r="I181" t="s">
        <v>3073</v>
      </c>
      <c r="J181" t="s">
        <v>3254</v>
      </c>
      <c r="K181">
        <v>8</v>
      </c>
      <c r="L181" t="s">
        <v>4329</v>
      </c>
      <c r="M181" t="s">
        <v>4280</v>
      </c>
      <c r="N181">
        <v>1619.73</v>
      </c>
      <c r="O181">
        <f t="shared" si="12"/>
        <v>1619.73</v>
      </c>
      <c r="P181" t="str">
        <f t="shared" si="13"/>
        <v>Nov</v>
      </c>
      <c r="Q181" t="str">
        <f t="shared" si="14"/>
        <v>Q4</v>
      </c>
      <c r="R181" s="5" t="str">
        <f t="shared" si="15"/>
        <v>Large</v>
      </c>
      <c r="S181" s="5" t="str">
        <f t="shared" si="16"/>
        <v>Completed</v>
      </c>
      <c r="T181" s="5" t="str">
        <f t="shared" si="17"/>
        <v>Yes</v>
      </c>
    </row>
    <row r="182" spans="1:20" x14ac:dyDescent="0.35">
      <c r="A182" t="s">
        <v>194</v>
      </c>
      <c r="B182" s="2">
        <v>45003</v>
      </c>
      <c r="C182" t="s">
        <v>1394</v>
      </c>
      <c r="D182" t="s">
        <v>2405</v>
      </c>
      <c r="E182">
        <v>5</v>
      </c>
      <c r="F182">
        <v>316.07</v>
      </c>
      <c r="G182" t="s">
        <v>2572</v>
      </c>
      <c r="H182" t="s">
        <v>3069</v>
      </c>
      <c r="I182" t="s">
        <v>3072</v>
      </c>
      <c r="J182" t="s">
        <v>3255</v>
      </c>
      <c r="K182">
        <v>10</v>
      </c>
      <c r="L182" t="s">
        <v>4329</v>
      </c>
      <c r="M182" t="s">
        <v>4282</v>
      </c>
      <c r="N182">
        <v>1580.35</v>
      </c>
      <c r="O182">
        <f t="shared" si="12"/>
        <v>1580.35</v>
      </c>
      <c r="P182" t="str">
        <f t="shared" si="13"/>
        <v>Mar</v>
      </c>
      <c r="Q182" t="str">
        <f t="shared" si="14"/>
        <v>Q1</v>
      </c>
      <c r="R182" s="5" t="str">
        <f t="shared" si="15"/>
        <v>Large</v>
      </c>
      <c r="S182" s="5" t="str">
        <f t="shared" si="16"/>
        <v>Pending</v>
      </c>
      <c r="T182" s="5" t="str">
        <f t="shared" si="17"/>
        <v>Yes</v>
      </c>
    </row>
    <row r="183" spans="1:20" x14ac:dyDescent="0.35">
      <c r="A183" t="s">
        <v>195</v>
      </c>
      <c r="B183" s="2">
        <v>45535</v>
      </c>
      <c r="C183" t="s">
        <v>1395</v>
      </c>
      <c r="D183" t="s">
        <v>2407</v>
      </c>
      <c r="E183">
        <v>5</v>
      </c>
      <c r="F183">
        <v>404.39</v>
      </c>
      <c r="G183" t="s">
        <v>2573</v>
      </c>
      <c r="H183" t="s">
        <v>3066</v>
      </c>
      <c r="I183" t="s">
        <v>3070</v>
      </c>
      <c r="J183" t="s">
        <v>3256</v>
      </c>
      <c r="K183">
        <v>10</v>
      </c>
      <c r="L183" t="s">
        <v>4329</v>
      </c>
      <c r="M183" t="s">
        <v>4279</v>
      </c>
      <c r="N183">
        <v>2021.95</v>
      </c>
      <c r="O183">
        <f t="shared" si="12"/>
        <v>2021.9499999999998</v>
      </c>
      <c r="P183" t="str">
        <f t="shared" si="13"/>
        <v>Aug</v>
      </c>
      <c r="Q183" t="str">
        <f t="shared" si="14"/>
        <v>Q3</v>
      </c>
      <c r="R183" s="5" t="str">
        <f t="shared" si="15"/>
        <v>Large</v>
      </c>
      <c r="S183" s="5" t="str">
        <f t="shared" si="16"/>
        <v>Pending</v>
      </c>
      <c r="T183" s="5" t="str">
        <f t="shared" si="17"/>
        <v>Yes</v>
      </c>
    </row>
    <row r="184" spans="1:20"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c r="O184">
        <f t="shared" si="12"/>
        <v>600.54</v>
      </c>
      <c r="P184" t="str">
        <f t="shared" si="13"/>
        <v>Mar</v>
      </c>
      <c r="Q184" t="str">
        <f t="shared" si="14"/>
        <v>Q1</v>
      </c>
      <c r="R184" s="5" t="str">
        <f t="shared" si="15"/>
        <v>Large</v>
      </c>
      <c r="S184" s="5" t="str">
        <f t="shared" si="16"/>
        <v>Pending</v>
      </c>
      <c r="T184" s="5" t="str">
        <f t="shared" si="17"/>
        <v>Yes</v>
      </c>
    </row>
    <row r="185" spans="1:20"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c r="O185">
        <f t="shared" si="12"/>
        <v>931.4</v>
      </c>
      <c r="P185" t="str">
        <f t="shared" si="13"/>
        <v>Apr</v>
      </c>
      <c r="Q185" t="str">
        <f t="shared" si="14"/>
        <v>Q2</v>
      </c>
      <c r="R185" s="5" t="str">
        <f t="shared" si="15"/>
        <v>Large</v>
      </c>
      <c r="S185" s="5" t="str">
        <f t="shared" si="16"/>
        <v>Completed</v>
      </c>
      <c r="T185" s="5" t="str">
        <f t="shared" si="17"/>
        <v>Yes</v>
      </c>
    </row>
    <row r="186" spans="1:20" x14ac:dyDescent="0.35">
      <c r="A186" t="s">
        <v>198</v>
      </c>
      <c r="B186" s="2">
        <v>45386</v>
      </c>
      <c r="C186" t="s">
        <v>1398</v>
      </c>
      <c r="D186" t="s">
        <v>2405</v>
      </c>
      <c r="E186">
        <v>4</v>
      </c>
      <c r="F186">
        <v>214.54</v>
      </c>
      <c r="G186" t="s">
        <v>2576</v>
      </c>
      <c r="H186" t="s">
        <v>3068</v>
      </c>
      <c r="I186" t="s">
        <v>3071</v>
      </c>
      <c r="J186" t="s">
        <v>3259</v>
      </c>
      <c r="K186">
        <v>7</v>
      </c>
      <c r="L186" t="s">
        <v>4329</v>
      </c>
      <c r="M186" t="s">
        <v>4279</v>
      </c>
      <c r="N186">
        <v>858.16</v>
      </c>
      <c r="O186">
        <f t="shared" si="12"/>
        <v>858.16</v>
      </c>
      <c r="P186" t="str">
        <f t="shared" si="13"/>
        <v>Apr</v>
      </c>
      <c r="Q186" t="str">
        <f t="shared" si="14"/>
        <v>Q2</v>
      </c>
      <c r="R186" s="5" t="str">
        <f t="shared" si="15"/>
        <v>Large</v>
      </c>
      <c r="S186" s="5" t="str">
        <f t="shared" si="16"/>
        <v>Pending</v>
      </c>
      <c r="T186" s="5" t="str">
        <f t="shared" si="17"/>
        <v>Yes</v>
      </c>
    </row>
    <row r="187" spans="1:20"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c r="O187">
        <f t="shared" si="12"/>
        <v>210.7</v>
      </c>
      <c r="P187" t="str">
        <f t="shared" si="13"/>
        <v>Feb</v>
      </c>
      <c r="Q187" t="str">
        <f t="shared" si="14"/>
        <v>Q1</v>
      </c>
      <c r="R187" s="5" t="str">
        <f t="shared" si="15"/>
        <v>Medium</v>
      </c>
      <c r="S187" s="5" t="str">
        <f t="shared" si="16"/>
        <v>Pending</v>
      </c>
      <c r="T187" s="5" t="str">
        <f t="shared" si="17"/>
        <v>Yes</v>
      </c>
    </row>
    <row r="188" spans="1:20"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c r="O188">
        <f t="shared" si="12"/>
        <v>267.10000000000002</v>
      </c>
      <c r="P188" t="str">
        <f t="shared" si="13"/>
        <v>Dec</v>
      </c>
      <c r="Q188" t="str">
        <f t="shared" si="14"/>
        <v>Q4</v>
      </c>
      <c r="R188" s="5" t="str">
        <f t="shared" si="15"/>
        <v>Medium</v>
      </c>
      <c r="S188" s="5" t="str">
        <f t="shared" si="16"/>
        <v>Pending</v>
      </c>
      <c r="T188" s="5" t="str">
        <f t="shared" si="17"/>
        <v>Yes</v>
      </c>
    </row>
    <row r="189" spans="1:20"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c r="O189">
        <f t="shared" si="12"/>
        <v>590.87</v>
      </c>
      <c r="P189" t="str">
        <f t="shared" si="13"/>
        <v>Feb</v>
      </c>
      <c r="Q189" t="str">
        <f t="shared" si="14"/>
        <v>Q1</v>
      </c>
      <c r="R189" s="5" t="str">
        <f t="shared" si="15"/>
        <v>Large</v>
      </c>
      <c r="S189" s="5" t="str">
        <f t="shared" si="16"/>
        <v>Pending</v>
      </c>
      <c r="T189" s="5" t="str">
        <f t="shared" si="17"/>
        <v>Yes</v>
      </c>
    </row>
    <row r="190" spans="1:20"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c r="O190">
        <f t="shared" si="12"/>
        <v>727.82</v>
      </c>
      <c r="P190" t="str">
        <f t="shared" si="13"/>
        <v>Mar</v>
      </c>
      <c r="Q190" t="str">
        <f t="shared" si="14"/>
        <v>Q1</v>
      </c>
      <c r="R190" s="5" t="str">
        <f t="shared" si="15"/>
        <v>Large</v>
      </c>
      <c r="S190" s="5" t="str">
        <f t="shared" si="16"/>
        <v>Pending</v>
      </c>
      <c r="T190" s="5" t="str">
        <f t="shared" si="17"/>
        <v>Yes</v>
      </c>
    </row>
    <row r="191" spans="1:20"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c r="O191">
        <f t="shared" si="12"/>
        <v>2147.25</v>
      </c>
      <c r="P191" t="str">
        <f t="shared" si="13"/>
        <v>Jul</v>
      </c>
      <c r="Q191" t="str">
        <f t="shared" si="14"/>
        <v>Q3</v>
      </c>
      <c r="R191" s="5" t="str">
        <f t="shared" si="15"/>
        <v>Large</v>
      </c>
      <c r="S191" s="5" t="str">
        <f t="shared" si="16"/>
        <v>Pending</v>
      </c>
      <c r="T191" s="5" t="str">
        <f t="shared" si="17"/>
        <v>Yes</v>
      </c>
    </row>
    <row r="192" spans="1:20"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c r="O192">
        <f t="shared" si="12"/>
        <v>671.09999999999991</v>
      </c>
      <c r="P192" t="str">
        <f t="shared" si="13"/>
        <v>Aug</v>
      </c>
      <c r="Q192" t="str">
        <f t="shared" si="14"/>
        <v>Q3</v>
      </c>
      <c r="R192" s="5" t="str">
        <f t="shared" si="15"/>
        <v>Large</v>
      </c>
      <c r="S192" s="5" t="str">
        <f t="shared" si="16"/>
        <v>Pending</v>
      </c>
      <c r="T192" s="5" t="str">
        <f t="shared" si="17"/>
        <v>Yes</v>
      </c>
    </row>
    <row r="193" spans="1:20"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c r="O193">
        <f t="shared" si="12"/>
        <v>977.74</v>
      </c>
      <c r="P193" t="str">
        <f t="shared" si="13"/>
        <v>Mar</v>
      </c>
      <c r="Q193" t="str">
        <f t="shared" si="14"/>
        <v>Q1</v>
      </c>
      <c r="R193" s="5" t="str">
        <f t="shared" si="15"/>
        <v>Large</v>
      </c>
      <c r="S193" s="5" t="str">
        <f t="shared" si="16"/>
        <v>Pending</v>
      </c>
      <c r="T193" s="5" t="str">
        <f t="shared" si="17"/>
        <v>Yes</v>
      </c>
    </row>
    <row r="194" spans="1:20"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c r="O194">
        <f t="shared" ref="O194:O257" si="18">E194*F194</f>
        <v>645.46</v>
      </c>
      <c r="P194" t="str">
        <f t="shared" ref="P194:P257" si="19">TEXT(B194, "mmm")</f>
        <v>Aug</v>
      </c>
      <c r="Q194" t="str">
        <f t="shared" ref="Q194:Q257" si="20">"Q"&amp;ROUNDUP(MONTH(B194)/3,0)</f>
        <v>Q3</v>
      </c>
      <c r="R194" s="5" t="str">
        <f t="shared" ref="R194:R257" si="21">IF(N194&lt;100,"Small", IF(N194&lt;500, "Medium", "Large"))</f>
        <v>Large</v>
      </c>
      <c r="S194" s="5" t="str">
        <f t="shared" ref="S194:S257" si="22">IF(I194="Delivered","Completed","Pending")</f>
        <v>Pending</v>
      </c>
      <c r="T194" s="5" t="str">
        <f t="shared" ref="T194:T257" si="23">IF(L194="","No", "Yes")</f>
        <v>Yes</v>
      </c>
    </row>
    <row r="195" spans="1:20" x14ac:dyDescent="0.35">
      <c r="A195" t="s">
        <v>207</v>
      </c>
      <c r="B195" s="2">
        <v>45128</v>
      </c>
      <c r="C195" t="s">
        <v>1407</v>
      </c>
      <c r="D195" t="s">
        <v>2407</v>
      </c>
      <c r="E195">
        <v>1</v>
      </c>
      <c r="F195">
        <v>46.66</v>
      </c>
      <c r="G195" t="s">
        <v>2584</v>
      </c>
      <c r="H195" t="s">
        <v>3069</v>
      </c>
      <c r="I195" t="s">
        <v>3071</v>
      </c>
      <c r="J195" t="s">
        <v>3268</v>
      </c>
      <c r="K195">
        <v>6</v>
      </c>
      <c r="L195" t="s">
        <v>4329</v>
      </c>
      <c r="M195" t="s">
        <v>4282</v>
      </c>
      <c r="N195">
        <v>46.66</v>
      </c>
      <c r="O195">
        <f t="shared" si="18"/>
        <v>46.66</v>
      </c>
      <c r="P195" t="str">
        <f t="shared" si="19"/>
        <v>Jul</v>
      </c>
      <c r="Q195" t="str">
        <f t="shared" si="20"/>
        <v>Q3</v>
      </c>
      <c r="R195" s="5" t="str">
        <f t="shared" si="21"/>
        <v>Small</v>
      </c>
      <c r="S195" s="5" t="str">
        <f t="shared" si="22"/>
        <v>Pending</v>
      </c>
      <c r="T195" s="5" t="str">
        <f t="shared" si="23"/>
        <v>Yes</v>
      </c>
    </row>
    <row r="196" spans="1:20"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c r="O196">
        <f t="shared" si="18"/>
        <v>249.57</v>
      </c>
      <c r="P196" t="str">
        <f t="shared" si="19"/>
        <v>Jun</v>
      </c>
      <c r="Q196" t="str">
        <f t="shared" si="20"/>
        <v>Q2</v>
      </c>
      <c r="R196" s="5" t="str">
        <f t="shared" si="21"/>
        <v>Medium</v>
      </c>
      <c r="S196" s="5" t="str">
        <f t="shared" si="22"/>
        <v>Pending</v>
      </c>
      <c r="T196" s="5" t="str">
        <f t="shared" si="23"/>
        <v>Yes</v>
      </c>
    </row>
    <row r="197" spans="1:20" x14ac:dyDescent="0.35">
      <c r="A197" t="s">
        <v>209</v>
      </c>
      <c r="B197" s="2">
        <v>45404</v>
      </c>
      <c r="C197" t="s">
        <v>1409</v>
      </c>
      <c r="D197" t="s">
        <v>2406</v>
      </c>
      <c r="E197">
        <v>3</v>
      </c>
      <c r="F197">
        <v>619.21</v>
      </c>
      <c r="G197" t="s">
        <v>2586</v>
      </c>
      <c r="H197" t="s">
        <v>3065</v>
      </c>
      <c r="I197" t="s">
        <v>3071</v>
      </c>
      <c r="J197" t="s">
        <v>3270</v>
      </c>
      <c r="K197">
        <v>6</v>
      </c>
      <c r="L197" t="s">
        <v>4329</v>
      </c>
      <c r="M197" t="s">
        <v>4280</v>
      </c>
      <c r="N197">
        <v>1857.63</v>
      </c>
      <c r="O197">
        <f t="shared" si="18"/>
        <v>1857.63</v>
      </c>
      <c r="P197" t="str">
        <f t="shared" si="19"/>
        <v>Apr</v>
      </c>
      <c r="Q197" t="str">
        <f t="shared" si="20"/>
        <v>Q2</v>
      </c>
      <c r="R197" s="5" t="str">
        <f t="shared" si="21"/>
        <v>Large</v>
      </c>
      <c r="S197" s="5" t="str">
        <f t="shared" si="22"/>
        <v>Pending</v>
      </c>
      <c r="T197" s="5" t="str">
        <f t="shared" si="23"/>
        <v>Yes</v>
      </c>
    </row>
    <row r="198" spans="1:20"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c r="O198">
        <f t="shared" si="18"/>
        <v>868.52</v>
      </c>
      <c r="P198" t="str">
        <f t="shared" si="19"/>
        <v>Jan</v>
      </c>
      <c r="Q198" t="str">
        <f t="shared" si="20"/>
        <v>Q1</v>
      </c>
      <c r="R198" s="5" t="str">
        <f t="shared" si="21"/>
        <v>Large</v>
      </c>
      <c r="S198" s="5" t="str">
        <f t="shared" si="22"/>
        <v>Completed</v>
      </c>
      <c r="T198" s="5" t="str">
        <f t="shared" si="23"/>
        <v>Yes</v>
      </c>
    </row>
    <row r="199" spans="1:20"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c r="O199">
        <f t="shared" si="18"/>
        <v>1107.55</v>
      </c>
      <c r="P199" t="str">
        <f t="shared" si="19"/>
        <v>Aug</v>
      </c>
      <c r="Q199" t="str">
        <f t="shared" si="20"/>
        <v>Q3</v>
      </c>
      <c r="R199" s="5" t="str">
        <f t="shared" si="21"/>
        <v>Large</v>
      </c>
      <c r="S199" s="5" t="str">
        <f t="shared" si="22"/>
        <v>Pending</v>
      </c>
      <c r="T199" s="5" t="str">
        <f t="shared" si="23"/>
        <v>Yes</v>
      </c>
    </row>
    <row r="200" spans="1:20"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c r="O200">
        <f t="shared" si="18"/>
        <v>1361.2</v>
      </c>
      <c r="P200" t="str">
        <f t="shared" si="19"/>
        <v>Jun</v>
      </c>
      <c r="Q200" t="str">
        <f t="shared" si="20"/>
        <v>Q2</v>
      </c>
      <c r="R200" s="5" t="str">
        <f t="shared" si="21"/>
        <v>Large</v>
      </c>
      <c r="S200" s="5" t="str">
        <f t="shared" si="22"/>
        <v>Pending</v>
      </c>
      <c r="T200" s="5" t="str">
        <f t="shared" si="23"/>
        <v>Yes</v>
      </c>
    </row>
    <row r="201" spans="1:20" x14ac:dyDescent="0.35">
      <c r="A201" t="s">
        <v>213</v>
      </c>
      <c r="B201" s="2">
        <v>45680</v>
      </c>
      <c r="C201" t="s">
        <v>1413</v>
      </c>
      <c r="D201" t="s">
        <v>2404</v>
      </c>
      <c r="E201">
        <v>1</v>
      </c>
      <c r="F201">
        <v>625</v>
      </c>
      <c r="G201" t="s">
        <v>2589</v>
      </c>
      <c r="H201" t="s">
        <v>3066</v>
      </c>
      <c r="I201" t="s">
        <v>3072</v>
      </c>
      <c r="J201" t="s">
        <v>3274</v>
      </c>
      <c r="K201">
        <v>5</v>
      </c>
      <c r="L201" t="s">
        <v>4277</v>
      </c>
      <c r="M201" t="s">
        <v>4282</v>
      </c>
      <c r="N201">
        <v>625</v>
      </c>
      <c r="O201">
        <f t="shared" si="18"/>
        <v>625</v>
      </c>
      <c r="P201" t="str">
        <f t="shared" si="19"/>
        <v>Jan</v>
      </c>
      <c r="Q201" t="str">
        <f t="shared" si="20"/>
        <v>Q1</v>
      </c>
      <c r="R201" s="5" t="str">
        <f t="shared" si="21"/>
        <v>Large</v>
      </c>
      <c r="S201" s="5" t="str">
        <f t="shared" si="22"/>
        <v>Pending</v>
      </c>
      <c r="T201" s="5" t="str">
        <f t="shared" si="23"/>
        <v>Yes</v>
      </c>
    </row>
    <row r="202" spans="1:20"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c r="O202">
        <f t="shared" si="18"/>
        <v>2166.3000000000002</v>
      </c>
      <c r="P202" t="str">
        <f t="shared" si="19"/>
        <v>Jun</v>
      </c>
      <c r="Q202" t="str">
        <f t="shared" si="20"/>
        <v>Q2</v>
      </c>
      <c r="R202" s="5" t="str">
        <f t="shared" si="21"/>
        <v>Large</v>
      </c>
      <c r="S202" s="5" t="str">
        <f t="shared" si="22"/>
        <v>Completed</v>
      </c>
      <c r="T202" s="5" t="str">
        <f t="shared" si="23"/>
        <v>Yes</v>
      </c>
    </row>
    <row r="203" spans="1:20"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c r="O203">
        <f t="shared" si="18"/>
        <v>1349.8</v>
      </c>
      <c r="P203" t="str">
        <f t="shared" si="19"/>
        <v>Jun</v>
      </c>
      <c r="Q203" t="str">
        <f t="shared" si="20"/>
        <v>Q2</v>
      </c>
      <c r="R203" s="5" t="str">
        <f t="shared" si="21"/>
        <v>Large</v>
      </c>
      <c r="S203" s="5" t="str">
        <f t="shared" si="22"/>
        <v>Pending</v>
      </c>
      <c r="T203" s="5" t="str">
        <f t="shared" si="23"/>
        <v>Yes</v>
      </c>
    </row>
    <row r="204" spans="1:20"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c r="O204">
        <f t="shared" si="18"/>
        <v>761.93999999999994</v>
      </c>
      <c r="P204" t="str">
        <f t="shared" si="19"/>
        <v>Feb</v>
      </c>
      <c r="Q204" t="str">
        <f t="shared" si="20"/>
        <v>Q1</v>
      </c>
      <c r="R204" s="5" t="str">
        <f t="shared" si="21"/>
        <v>Large</v>
      </c>
      <c r="S204" s="5" t="str">
        <f t="shared" si="22"/>
        <v>Pending</v>
      </c>
      <c r="T204" s="5" t="str">
        <f t="shared" si="23"/>
        <v>Yes</v>
      </c>
    </row>
    <row r="205" spans="1:20"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c r="O205">
        <f t="shared" si="18"/>
        <v>1070.52</v>
      </c>
      <c r="P205" t="str">
        <f t="shared" si="19"/>
        <v>Jan</v>
      </c>
      <c r="Q205" t="str">
        <f t="shared" si="20"/>
        <v>Q1</v>
      </c>
      <c r="R205" s="5" t="str">
        <f t="shared" si="21"/>
        <v>Large</v>
      </c>
      <c r="S205" s="5" t="str">
        <f t="shared" si="22"/>
        <v>Pending</v>
      </c>
      <c r="T205" s="5" t="str">
        <f t="shared" si="23"/>
        <v>Yes</v>
      </c>
    </row>
    <row r="206" spans="1:20"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c r="O206">
        <f t="shared" si="18"/>
        <v>1654.84</v>
      </c>
      <c r="P206" t="str">
        <f t="shared" si="19"/>
        <v>Sep</v>
      </c>
      <c r="Q206" t="str">
        <f t="shared" si="20"/>
        <v>Q3</v>
      </c>
      <c r="R206" s="5" t="str">
        <f t="shared" si="21"/>
        <v>Large</v>
      </c>
      <c r="S206" s="5" t="str">
        <f t="shared" si="22"/>
        <v>Pending</v>
      </c>
      <c r="T206" s="5" t="str">
        <f t="shared" si="23"/>
        <v>Yes</v>
      </c>
    </row>
    <row r="207" spans="1:20" x14ac:dyDescent="0.35">
      <c r="A207" t="s">
        <v>219</v>
      </c>
      <c r="B207" s="2">
        <v>44989</v>
      </c>
      <c r="C207" t="s">
        <v>1419</v>
      </c>
      <c r="D207" t="s">
        <v>2409</v>
      </c>
      <c r="E207">
        <v>3</v>
      </c>
      <c r="F207">
        <v>147.38999999999999</v>
      </c>
      <c r="G207" t="s">
        <v>2591</v>
      </c>
      <c r="H207" t="s">
        <v>3065</v>
      </c>
      <c r="I207" t="s">
        <v>3072</v>
      </c>
      <c r="J207" t="s">
        <v>3280</v>
      </c>
      <c r="K207">
        <v>3</v>
      </c>
      <c r="L207" t="s">
        <v>4329</v>
      </c>
      <c r="M207" t="s">
        <v>4280</v>
      </c>
      <c r="N207">
        <v>442.17</v>
      </c>
      <c r="O207">
        <f t="shared" si="18"/>
        <v>442.16999999999996</v>
      </c>
      <c r="P207" t="str">
        <f t="shared" si="19"/>
        <v>Mar</v>
      </c>
      <c r="Q207" t="str">
        <f t="shared" si="20"/>
        <v>Q1</v>
      </c>
      <c r="R207" s="5" t="str">
        <f t="shared" si="21"/>
        <v>Medium</v>
      </c>
      <c r="S207" s="5" t="str">
        <f t="shared" si="22"/>
        <v>Pending</v>
      </c>
      <c r="T207" s="5" t="str">
        <f t="shared" si="23"/>
        <v>Yes</v>
      </c>
    </row>
    <row r="208" spans="1:20"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c r="O208">
        <f t="shared" si="18"/>
        <v>916.4</v>
      </c>
      <c r="P208" t="str">
        <f t="shared" si="19"/>
        <v>Apr</v>
      </c>
      <c r="Q208" t="str">
        <f t="shared" si="20"/>
        <v>Q2</v>
      </c>
      <c r="R208" s="5" t="str">
        <f t="shared" si="21"/>
        <v>Large</v>
      </c>
      <c r="S208" s="5" t="str">
        <f t="shared" si="22"/>
        <v>Pending</v>
      </c>
      <c r="T208" s="5" t="str">
        <f t="shared" si="23"/>
        <v>Yes</v>
      </c>
    </row>
    <row r="209" spans="1:20" x14ac:dyDescent="0.35">
      <c r="A209" t="s">
        <v>221</v>
      </c>
      <c r="B209" s="2">
        <v>45734</v>
      </c>
      <c r="C209" t="s">
        <v>1421</v>
      </c>
      <c r="D209" t="s">
        <v>2404</v>
      </c>
      <c r="E209">
        <v>1</v>
      </c>
      <c r="F209">
        <v>121.96</v>
      </c>
      <c r="G209" t="s">
        <v>2593</v>
      </c>
      <c r="H209" t="s">
        <v>3065</v>
      </c>
      <c r="I209" t="s">
        <v>3073</v>
      </c>
      <c r="J209" t="s">
        <v>3282</v>
      </c>
      <c r="K209">
        <v>3</v>
      </c>
      <c r="L209" t="s">
        <v>4329</v>
      </c>
      <c r="M209" t="s">
        <v>4282</v>
      </c>
      <c r="N209">
        <v>121.96</v>
      </c>
      <c r="O209">
        <f t="shared" si="18"/>
        <v>121.96</v>
      </c>
      <c r="P209" t="str">
        <f t="shared" si="19"/>
        <v>Mar</v>
      </c>
      <c r="Q209" t="str">
        <f t="shared" si="20"/>
        <v>Q1</v>
      </c>
      <c r="R209" s="5" t="str">
        <f t="shared" si="21"/>
        <v>Medium</v>
      </c>
      <c r="S209" s="5" t="str">
        <f t="shared" si="22"/>
        <v>Completed</v>
      </c>
      <c r="T209" s="5" t="str">
        <f t="shared" si="23"/>
        <v>Yes</v>
      </c>
    </row>
    <row r="210" spans="1:20"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c r="O210">
        <f t="shared" si="18"/>
        <v>816.64</v>
      </c>
      <c r="P210" t="str">
        <f t="shared" si="19"/>
        <v>Oct</v>
      </c>
      <c r="Q210" t="str">
        <f t="shared" si="20"/>
        <v>Q4</v>
      </c>
      <c r="R210" s="5" t="str">
        <f t="shared" si="21"/>
        <v>Large</v>
      </c>
      <c r="S210" s="5" t="str">
        <f t="shared" si="22"/>
        <v>Pending</v>
      </c>
      <c r="T210" s="5" t="str">
        <f t="shared" si="23"/>
        <v>Yes</v>
      </c>
    </row>
    <row r="211" spans="1:20"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c r="O211">
        <f t="shared" si="18"/>
        <v>939.85</v>
      </c>
      <c r="P211" t="str">
        <f t="shared" si="19"/>
        <v>Aug</v>
      </c>
      <c r="Q211" t="str">
        <f t="shared" si="20"/>
        <v>Q3</v>
      </c>
      <c r="R211" s="5" t="str">
        <f t="shared" si="21"/>
        <v>Large</v>
      </c>
      <c r="S211" s="5" t="str">
        <f t="shared" si="22"/>
        <v>Pending</v>
      </c>
      <c r="T211" s="5" t="str">
        <f t="shared" si="23"/>
        <v>Yes</v>
      </c>
    </row>
    <row r="212" spans="1:20"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c r="O212">
        <f t="shared" si="18"/>
        <v>1075.44</v>
      </c>
      <c r="P212" t="str">
        <f t="shared" si="19"/>
        <v>Dec</v>
      </c>
      <c r="Q212" t="str">
        <f t="shared" si="20"/>
        <v>Q4</v>
      </c>
      <c r="R212" s="5" t="str">
        <f t="shared" si="21"/>
        <v>Large</v>
      </c>
      <c r="S212" s="5" t="str">
        <f t="shared" si="22"/>
        <v>Completed</v>
      </c>
      <c r="T212" s="5" t="str">
        <f t="shared" si="23"/>
        <v>Yes</v>
      </c>
    </row>
    <row r="213" spans="1:20"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c r="O213">
        <f t="shared" si="18"/>
        <v>580.74</v>
      </c>
      <c r="P213" t="str">
        <f t="shared" si="19"/>
        <v>Jan</v>
      </c>
      <c r="Q213" t="str">
        <f t="shared" si="20"/>
        <v>Q1</v>
      </c>
      <c r="R213" s="5" t="str">
        <f t="shared" si="21"/>
        <v>Large</v>
      </c>
      <c r="S213" s="5" t="str">
        <f t="shared" si="22"/>
        <v>Pending</v>
      </c>
      <c r="T213" s="5" t="str">
        <f t="shared" si="23"/>
        <v>Yes</v>
      </c>
    </row>
    <row r="214" spans="1:20"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c r="O214">
        <f t="shared" si="18"/>
        <v>265.38</v>
      </c>
      <c r="P214" t="str">
        <f t="shared" si="19"/>
        <v>Jun</v>
      </c>
      <c r="Q214" t="str">
        <f t="shared" si="20"/>
        <v>Q2</v>
      </c>
      <c r="R214" s="5" t="str">
        <f t="shared" si="21"/>
        <v>Medium</v>
      </c>
      <c r="S214" s="5" t="str">
        <f t="shared" si="22"/>
        <v>Pending</v>
      </c>
      <c r="T214" s="5" t="str">
        <f t="shared" si="23"/>
        <v>Yes</v>
      </c>
    </row>
    <row r="215" spans="1:20"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c r="O215">
        <f t="shared" si="18"/>
        <v>634.4</v>
      </c>
      <c r="P215" t="str">
        <f t="shared" si="19"/>
        <v>Apr</v>
      </c>
      <c r="Q215" t="str">
        <f t="shared" si="20"/>
        <v>Q2</v>
      </c>
      <c r="R215" s="5" t="str">
        <f t="shared" si="21"/>
        <v>Large</v>
      </c>
      <c r="S215" s="5" t="str">
        <f t="shared" si="22"/>
        <v>Pending</v>
      </c>
      <c r="T215" s="5" t="str">
        <f t="shared" si="23"/>
        <v>Yes</v>
      </c>
    </row>
    <row r="216" spans="1:20" x14ac:dyDescent="0.35">
      <c r="A216" t="s">
        <v>228</v>
      </c>
      <c r="B216" s="2">
        <v>45525</v>
      </c>
      <c r="C216" t="s">
        <v>1428</v>
      </c>
      <c r="D216" t="s">
        <v>2409</v>
      </c>
      <c r="E216">
        <v>4</v>
      </c>
      <c r="F216">
        <v>305.72000000000003</v>
      </c>
      <c r="G216" t="s">
        <v>2523</v>
      </c>
      <c r="H216" t="s">
        <v>3066</v>
      </c>
      <c r="I216" t="s">
        <v>3073</v>
      </c>
      <c r="J216" t="s">
        <v>3289</v>
      </c>
      <c r="K216">
        <v>5</v>
      </c>
      <c r="L216" t="s">
        <v>4329</v>
      </c>
      <c r="M216" t="s">
        <v>4281</v>
      </c>
      <c r="N216">
        <v>1222.8800000000001</v>
      </c>
      <c r="O216">
        <f t="shared" si="18"/>
        <v>1222.8800000000001</v>
      </c>
      <c r="P216" t="str">
        <f t="shared" si="19"/>
        <v>Aug</v>
      </c>
      <c r="Q216" t="str">
        <f t="shared" si="20"/>
        <v>Q3</v>
      </c>
      <c r="R216" s="5" t="str">
        <f t="shared" si="21"/>
        <v>Large</v>
      </c>
      <c r="S216" s="5" t="str">
        <f t="shared" si="22"/>
        <v>Completed</v>
      </c>
      <c r="T216" s="5" t="str">
        <f t="shared" si="23"/>
        <v>Yes</v>
      </c>
    </row>
    <row r="217" spans="1:20"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c r="O217">
        <f t="shared" si="18"/>
        <v>303.60000000000002</v>
      </c>
      <c r="P217" t="str">
        <f t="shared" si="19"/>
        <v>Aug</v>
      </c>
      <c r="Q217" t="str">
        <f t="shared" si="20"/>
        <v>Q3</v>
      </c>
      <c r="R217" s="5" t="str">
        <f t="shared" si="21"/>
        <v>Medium</v>
      </c>
      <c r="S217" s="5" t="str">
        <f t="shared" si="22"/>
        <v>Pending</v>
      </c>
      <c r="T217" s="5" t="str">
        <f t="shared" si="23"/>
        <v>Yes</v>
      </c>
    </row>
    <row r="218" spans="1:20"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c r="O218">
        <f t="shared" si="18"/>
        <v>1984</v>
      </c>
      <c r="P218" t="str">
        <f t="shared" si="19"/>
        <v>Apr</v>
      </c>
      <c r="Q218" t="str">
        <f t="shared" si="20"/>
        <v>Q2</v>
      </c>
      <c r="R218" s="5" t="str">
        <f t="shared" si="21"/>
        <v>Large</v>
      </c>
      <c r="S218" s="5" t="str">
        <f t="shared" si="22"/>
        <v>Pending</v>
      </c>
      <c r="T218" s="5" t="str">
        <f t="shared" si="23"/>
        <v>Yes</v>
      </c>
    </row>
    <row r="219" spans="1:20" x14ac:dyDescent="0.35">
      <c r="A219" t="s">
        <v>231</v>
      </c>
      <c r="B219" s="2">
        <v>45432</v>
      </c>
      <c r="C219" t="s">
        <v>1431</v>
      </c>
      <c r="D219" t="s">
        <v>2409</v>
      </c>
      <c r="E219">
        <v>4</v>
      </c>
      <c r="F219">
        <v>321.51</v>
      </c>
      <c r="G219" t="s">
        <v>2598</v>
      </c>
      <c r="H219" t="s">
        <v>3069</v>
      </c>
      <c r="I219" t="s">
        <v>3072</v>
      </c>
      <c r="J219" t="s">
        <v>3292</v>
      </c>
      <c r="K219">
        <v>9</v>
      </c>
      <c r="L219" t="s">
        <v>4329</v>
      </c>
      <c r="M219" t="s">
        <v>4282</v>
      </c>
      <c r="N219">
        <v>1286.04</v>
      </c>
      <c r="O219">
        <f t="shared" si="18"/>
        <v>1286.04</v>
      </c>
      <c r="P219" t="str">
        <f t="shared" si="19"/>
        <v>May</v>
      </c>
      <c r="Q219" t="str">
        <f t="shared" si="20"/>
        <v>Q2</v>
      </c>
      <c r="R219" s="5" t="str">
        <f t="shared" si="21"/>
        <v>Large</v>
      </c>
      <c r="S219" s="5" t="str">
        <f t="shared" si="22"/>
        <v>Pending</v>
      </c>
      <c r="T219" s="5" t="str">
        <f t="shared" si="23"/>
        <v>Yes</v>
      </c>
    </row>
    <row r="220" spans="1:20"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c r="O220">
        <f t="shared" si="18"/>
        <v>337.38</v>
      </c>
      <c r="P220" t="str">
        <f t="shared" si="19"/>
        <v>Apr</v>
      </c>
      <c r="Q220" t="str">
        <f t="shared" si="20"/>
        <v>Q2</v>
      </c>
      <c r="R220" s="5" t="str">
        <f t="shared" si="21"/>
        <v>Medium</v>
      </c>
      <c r="S220" s="5" t="str">
        <f t="shared" si="22"/>
        <v>Pending</v>
      </c>
      <c r="T220" s="5" t="str">
        <f t="shared" si="23"/>
        <v>Yes</v>
      </c>
    </row>
    <row r="221" spans="1:20"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c r="O221">
        <f t="shared" si="18"/>
        <v>309.85000000000002</v>
      </c>
      <c r="P221" t="str">
        <f t="shared" si="19"/>
        <v>May</v>
      </c>
      <c r="Q221" t="str">
        <f t="shared" si="20"/>
        <v>Q2</v>
      </c>
      <c r="R221" s="5" t="str">
        <f t="shared" si="21"/>
        <v>Medium</v>
      </c>
      <c r="S221" s="5" t="str">
        <f t="shared" si="22"/>
        <v>Completed</v>
      </c>
      <c r="T221" s="5" t="str">
        <f t="shared" si="23"/>
        <v>Yes</v>
      </c>
    </row>
    <row r="222" spans="1:20"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c r="O222">
        <f t="shared" si="18"/>
        <v>746.34</v>
      </c>
      <c r="P222" t="str">
        <f t="shared" si="19"/>
        <v>Jul</v>
      </c>
      <c r="Q222" t="str">
        <f t="shared" si="20"/>
        <v>Q3</v>
      </c>
      <c r="R222" s="5" t="str">
        <f t="shared" si="21"/>
        <v>Large</v>
      </c>
      <c r="S222" s="5" t="str">
        <f t="shared" si="22"/>
        <v>Pending</v>
      </c>
      <c r="T222" s="5" t="str">
        <f t="shared" si="23"/>
        <v>Yes</v>
      </c>
    </row>
    <row r="223" spans="1:20"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c r="O223">
        <f t="shared" si="18"/>
        <v>3196.85</v>
      </c>
      <c r="P223" t="str">
        <f t="shared" si="19"/>
        <v>Feb</v>
      </c>
      <c r="Q223" t="str">
        <f t="shared" si="20"/>
        <v>Q1</v>
      </c>
      <c r="R223" s="5" t="str">
        <f t="shared" si="21"/>
        <v>Large</v>
      </c>
      <c r="S223" s="5" t="str">
        <f t="shared" si="22"/>
        <v>Pending</v>
      </c>
      <c r="T223" s="5" t="str">
        <f t="shared" si="23"/>
        <v>Yes</v>
      </c>
    </row>
    <row r="224" spans="1:20" x14ac:dyDescent="0.35">
      <c r="A224" t="s">
        <v>236</v>
      </c>
      <c r="B224" s="2">
        <v>45050</v>
      </c>
      <c r="C224" t="s">
        <v>1436</v>
      </c>
      <c r="D224" t="s">
        <v>2406</v>
      </c>
      <c r="E224">
        <v>4</v>
      </c>
      <c r="F224">
        <v>693.36</v>
      </c>
      <c r="G224" t="s">
        <v>2602</v>
      </c>
      <c r="H224" t="s">
        <v>3066</v>
      </c>
      <c r="I224" t="s">
        <v>3070</v>
      </c>
      <c r="J224" t="s">
        <v>3297</v>
      </c>
      <c r="K224">
        <v>8</v>
      </c>
      <c r="L224" t="s">
        <v>4329</v>
      </c>
      <c r="M224" t="s">
        <v>4278</v>
      </c>
      <c r="N224">
        <v>2773.44</v>
      </c>
      <c r="O224">
        <f t="shared" si="18"/>
        <v>2773.44</v>
      </c>
      <c r="P224" t="str">
        <f t="shared" si="19"/>
        <v>May</v>
      </c>
      <c r="Q224" t="str">
        <f t="shared" si="20"/>
        <v>Q2</v>
      </c>
      <c r="R224" s="5" t="str">
        <f t="shared" si="21"/>
        <v>Large</v>
      </c>
      <c r="S224" s="5" t="str">
        <f t="shared" si="22"/>
        <v>Pending</v>
      </c>
      <c r="T224" s="5" t="str">
        <f t="shared" si="23"/>
        <v>Yes</v>
      </c>
    </row>
    <row r="225" spans="1:20"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c r="O225">
        <f t="shared" si="18"/>
        <v>2771.64</v>
      </c>
      <c r="P225" t="str">
        <f t="shared" si="19"/>
        <v>Sep</v>
      </c>
      <c r="Q225" t="str">
        <f t="shared" si="20"/>
        <v>Q3</v>
      </c>
      <c r="R225" s="5" t="str">
        <f t="shared" si="21"/>
        <v>Large</v>
      </c>
      <c r="S225" s="5" t="str">
        <f t="shared" si="22"/>
        <v>Pending</v>
      </c>
      <c r="T225" s="5" t="str">
        <f t="shared" si="23"/>
        <v>Yes</v>
      </c>
    </row>
    <row r="226" spans="1:20"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c r="O226">
        <f t="shared" si="18"/>
        <v>365.84</v>
      </c>
      <c r="P226" t="str">
        <f t="shared" si="19"/>
        <v>Sep</v>
      </c>
      <c r="Q226" t="str">
        <f t="shared" si="20"/>
        <v>Q3</v>
      </c>
      <c r="R226" s="5" t="str">
        <f t="shared" si="21"/>
        <v>Medium</v>
      </c>
      <c r="S226" s="5" t="str">
        <f t="shared" si="22"/>
        <v>Pending</v>
      </c>
      <c r="T226" s="5" t="str">
        <f t="shared" si="23"/>
        <v>Yes</v>
      </c>
    </row>
    <row r="227" spans="1:20"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c r="O227">
        <f t="shared" si="18"/>
        <v>821.87999999999988</v>
      </c>
      <c r="P227" t="str">
        <f t="shared" si="19"/>
        <v>Mar</v>
      </c>
      <c r="Q227" t="str">
        <f t="shared" si="20"/>
        <v>Q1</v>
      </c>
      <c r="R227" s="5" t="str">
        <f t="shared" si="21"/>
        <v>Large</v>
      </c>
      <c r="S227" s="5" t="str">
        <f t="shared" si="22"/>
        <v>Pending</v>
      </c>
      <c r="T227" s="5" t="str">
        <f t="shared" si="23"/>
        <v>Yes</v>
      </c>
    </row>
    <row r="228" spans="1:20" x14ac:dyDescent="0.35">
      <c r="A228" t="s">
        <v>240</v>
      </c>
      <c r="B228" s="2">
        <v>45835</v>
      </c>
      <c r="C228" t="s">
        <v>1440</v>
      </c>
      <c r="D228" t="s">
        <v>2409</v>
      </c>
      <c r="E228">
        <v>3</v>
      </c>
      <c r="F228">
        <v>588.04999999999995</v>
      </c>
      <c r="G228" t="s">
        <v>2605</v>
      </c>
      <c r="H228" t="s">
        <v>3068</v>
      </c>
      <c r="I228" t="s">
        <v>3073</v>
      </c>
      <c r="J228" t="s">
        <v>3301</v>
      </c>
      <c r="K228">
        <v>8</v>
      </c>
      <c r="L228" t="s">
        <v>4329</v>
      </c>
      <c r="M228" t="s">
        <v>4278</v>
      </c>
      <c r="N228">
        <v>1764.15</v>
      </c>
      <c r="O228">
        <f t="shared" si="18"/>
        <v>1764.1499999999999</v>
      </c>
      <c r="P228" t="str">
        <f t="shared" si="19"/>
        <v>Jun</v>
      </c>
      <c r="Q228" t="str">
        <f t="shared" si="20"/>
        <v>Q2</v>
      </c>
      <c r="R228" s="5" t="str">
        <f t="shared" si="21"/>
        <v>Large</v>
      </c>
      <c r="S228" s="5" t="str">
        <f t="shared" si="22"/>
        <v>Completed</v>
      </c>
      <c r="T228" s="5" t="str">
        <f t="shared" si="23"/>
        <v>Yes</v>
      </c>
    </row>
    <row r="229" spans="1:20"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c r="O229">
        <f t="shared" si="18"/>
        <v>730.34</v>
      </c>
      <c r="P229" t="str">
        <f t="shared" si="19"/>
        <v>Nov</v>
      </c>
      <c r="Q229" t="str">
        <f t="shared" si="20"/>
        <v>Q4</v>
      </c>
      <c r="R229" s="5" t="str">
        <f t="shared" si="21"/>
        <v>Large</v>
      </c>
      <c r="S229" s="5" t="str">
        <f t="shared" si="22"/>
        <v>Pending</v>
      </c>
      <c r="T229" s="5" t="str">
        <f t="shared" si="23"/>
        <v>Yes</v>
      </c>
    </row>
    <row r="230" spans="1:20" x14ac:dyDescent="0.35">
      <c r="A230" t="s">
        <v>242</v>
      </c>
      <c r="B230" s="2">
        <v>45063</v>
      </c>
      <c r="C230" t="s">
        <v>1442</v>
      </c>
      <c r="D230" t="s">
        <v>2406</v>
      </c>
      <c r="E230">
        <v>4</v>
      </c>
      <c r="F230">
        <v>385.92</v>
      </c>
      <c r="G230" t="s">
        <v>2606</v>
      </c>
      <c r="H230" t="s">
        <v>3067</v>
      </c>
      <c r="I230" t="s">
        <v>3071</v>
      </c>
      <c r="J230" t="s">
        <v>3303</v>
      </c>
      <c r="K230">
        <v>8</v>
      </c>
      <c r="L230" t="s">
        <v>4329</v>
      </c>
      <c r="M230" t="s">
        <v>4278</v>
      </c>
      <c r="N230">
        <v>1543.68</v>
      </c>
      <c r="O230">
        <f t="shared" si="18"/>
        <v>1543.68</v>
      </c>
      <c r="P230" t="str">
        <f t="shared" si="19"/>
        <v>May</v>
      </c>
      <c r="Q230" t="str">
        <f t="shared" si="20"/>
        <v>Q2</v>
      </c>
      <c r="R230" s="5" t="str">
        <f t="shared" si="21"/>
        <v>Large</v>
      </c>
      <c r="S230" s="5" t="str">
        <f t="shared" si="22"/>
        <v>Pending</v>
      </c>
      <c r="T230" s="5" t="str">
        <f t="shared" si="23"/>
        <v>Yes</v>
      </c>
    </row>
    <row r="231" spans="1:20"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c r="O231">
        <f t="shared" si="18"/>
        <v>562.61</v>
      </c>
      <c r="P231" t="str">
        <f t="shared" si="19"/>
        <v>Mar</v>
      </c>
      <c r="Q231" t="str">
        <f t="shared" si="20"/>
        <v>Q1</v>
      </c>
      <c r="R231" s="5" t="str">
        <f t="shared" si="21"/>
        <v>Large</v>
      </c>
      <c r="S231" s="5" t="str">
        <f t="shared" si="22"/>
        <v>Completed</v>
      </c>
      <c r="T231" s="5" t="str">
        <f t="shared" si="23"/>
        <v>Yes</v>
      </c>
    </row>
    <row r="232" spans="1:20"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c r="O232">
        <f t="shared" si="18"/>
        <v>247.64</v>
      </c>
      <c r="P232" t="str">
        <f t="shared" si="19"/>
        <v>Dec</v>
      </c>
      <c r="Q232" t="str">
        <f t="shared" si="20"/>
        <v>Q4</v>
      </c>
      <c r="R232" s="5" t="str">
        <f t="shared" si="21"/>
        <v>Medium</v>
      </c>
      <c r="S232" s="5" t="str">
        <f t="shared" si="22"/>
        <v>Completed</v>
      </c>
      <c r="T232" s="5" t="str">
        <f t="shared" si="23"/>
        <v>Yes</v>
      </c>
    </row>
    <row r="233" spans="1:20"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c r="O233">
        <f t="shared" si="18"/>
        <v>167.6</v>
      </c>
      <c r="P233" t="str">
        <f t="shared" si="19"/>
        <v>Nov</v>
      </c>
      <c r="Q233" t="str">
        <f t="shared" si="20"/>
        <v>Q4</v>
      </c>
      <c r="R233" s="5" t="str">
        <f t="shared" si="21"/>
        <v>Medium</v>
      </c>
      <c r="S233" s="5" t="str">
        <f t="shared" si="22"/>
        <v>Pending</v>
      </c>
      <c r="T233" s="5" t="str">
        <f t="shared" si="23"/>
        <v>Yes</v>
      </c>
    </row>
    <row r="234" spans="1:20"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c r="O234">
        <f t="shared" si="18"/>
        <v>1777.76</v>
      </c>
      <c r="P234" t="str">
        <f t="shared" si="19"/>
        <v>May</v>
      </c>
      <c r="Q234" t="str">
        <f t="shared" si="20"/>
        <v>Q2</v>
      </c>
      <c r="R234" s="5" t="str">
        <f t="shared" si="21"/>
        <v>Large</v>
      </c>
      <c r="S234" s="5" t="str">
        <f t="shared" si="22"/>
        <v>Pending</v>
      </c>
      <c r="T234" s="5" t="str">
        <f t="shared" si="23"/>
        <v>Yes</v>
      </c>
    </row>
    <row r="235" spans="1:20"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c r="O235">
        <f t="shared" si="18"/>
        <v>933.99</v>
      </c>
      <c r="P235" t="str">
        <f t="shared" si="19"/>
        <v>Aug</v>
      </c>
      <c r="Q235" t="str">
        <f t="shared" si="20"/>
        <v>Q3</v>
      </c>
      <c r="R235" s="5" t="str">
        <f t="shared" si="21"/>
        <v>Large</v>
      </c>
      <c r="S235" s="5" t="str">
        <f t="shared" si="22"/>
        <v>Pending</v>
      </c>
      <c r="T235" s="5" t="str">
        <f t="shared" si="23"/>
        <v>Yes</v>
      </c>
    </row>
    <row r="236" spans="1:20"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c r="O236">
        <f t="shared" si="18"/>
        <v>945.64</v>
      </c>
      <c r="P236" t="str">
        <f t="shared" si="19"/>
        <v>Nov</v>
      </c>
      <c r="Q236" t="str">
        <f t="shared" si="20"/>
        <v>Q4</v>
      </c>
      <c r="R236" s="5" t="str">
        <f t="shared" si="21"/>
        <v>Large</v>
      </c>
      <c r="S236" s="5" t="str">
        <f t="shared" si="22"/>
        <v>Pending</v>
      </c>
      <c r="T236" s="5" t="str">
        <f t="shared" si="23"/>
        <v>Yes</v>
      </c>
    </row>
    <row r="237" spans="1:20"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c r="O237">
        <f t="shared" si="18"/>
        <v>65.45</v>
      </c>
      <c r="P237" t="str">
        <f t="shared" si="19"/>
        <v>Feb</v>
      </c>
      <c r="Q237" t="str">
        <f t="shared" si="20"/>
        <v>Q1</v>
      </c>
      <c r="R237" s="5" t="str">
        <f t="shared" si="21"/>
        <v>Small</v>
      </c>
      <c r="S237" s="5" t="str">
        <f t="shared" si="22"/>
        <v>Pending</v>
      </c>
      <c r="T237" s="5" t="str">
        <f t="shared" si="23"/>
        <v>Yes</v>
      </c>
    </row>
    <row r="238" spans="1:20"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c r="O238">
        <f t="shared" si="18"/>
        <v>318.81</v>
      </c>
      <c r="P238" t="str">
        <f t="shared" si="19"/>
        <v>Jan</v>
      </c>
      <c r="Q238" t="str">
        <f t="shared" si="20"/>
        <v>Q1</v>
      </c>
      <c r="R238" s="5" t="str">
        <f t="shared" si="21"/>
        <v>Medium</v>
      </c>
      <c r="S238" s="5" t="str">
        <f t="shared" si="22"/>
        <v>Pending</v>
      </c>
      <c r="T238" s="5" t="str">
        <f t="shared" si="23"/>
        <v>Yes</v>
      </c>
    </row>
    <row r="239" spans="1:20"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c r="O239">
        <f t="shared" si="18"/>
        <v>1751.16</v>
      </c>
      <c r="P239" t="str">
        <f t="shared" si="19"/>
        <v>Mar</v>
      </c>
      <c r="Q239" t="str">
        <f t="shared" si="20"/>
        <v>Q1</v>
      </c>
      <c r="R239" s="5" t="str">
        <f t="shared" si="21"/>
        <v>Large</v>
      </c>
      <c r="S239" s="5" t="str">
        <f t="shared" si="22"/>
        <v>Pending</v>
      </c>
      <c r="T239" s="5" t="str">
        <f t="shared" si="23"/>
        <v>Yes</v>
      </c>
    </row>
    <row r="240" spans="1:20"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c r="O240">
        <f t="shared" si="18"/>
        <v>1537.28</v>
      </c>
      <c r="P240" t="str">
        <f t="shared" si="19"/>
        <v>Dec</v>
      </c>
      <c r="Q240" t="str">
        <f t="shared" si="20"/>
        <v>Q4</v>
      </c>
      <c r="R240" s="5" t="str">
        <f t="shared" si="21"/>
        <v>Large</v>
      </c>
      <c r="S240" s="5" t="str">
        <f t="shared" si="22"/>
        <v>Pending</v>
      </c>
      <c r="T240" s="5" t="str">
        <f t="shared" si="23"/>
        <v>Yes</v>
      </c>
    </row>
    <row r="241" spans="1:20"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c r="O241">
        <f t="shared" si="18"/>
        <v>1616.22</v>
      </c>
      <c r="P241" t="str">
        <f t="shared" si="19"/>
        <v>Dec</v>
      </c>
      <c r="Q241" t="str">
        <f t="shared" si="20"/>
        <v>Q4</v>
      </c>
      <c r="R241" s="5" t="str">
        <f t="shared" si="21"/>
        <v>Large</v>
      </c>
      <c r="S241" s="5" t="str">
        <f t="shared" si="22"/>
        <v>Pending</v>
      </c>
      <c r="T241" s="5" t="str">
        <f t="shared" si="23"/>
        <v>Yes</v>
      </c>
    </row>
    <row r="242" spans="1:20"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c r="O242">
        <f t="shared" si="18"/>
        <v>17.239999999999998</v>
      </c>
      <c r="P242" t="str">
        <f t="shared" si="19"/>
        <v>Jul</v>
      </c>
      <c r="Q242" t="str">
        <f t="shared" si="20"/>
        <v>Q3</v>
      </c>
      <c r="R242" s="5" t="str">
        <f t="shared" si="21"/>
        <v>Small</v>
      </c>
      <c r="S242" s="5" t="str">
        <f t="shared" si="22"/>
        <v>Pending</v>
      </c>
      <c r="T242" s="5" t="str">
        <f t="shared" si="23"/>
        <v>Yes</v>
      </c>
    </row>
    <row r="243" spans="1:20"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c r="O243">
        <f t="shared" si="18"/>
        <v>3078.35</v>
      </c>
      <c r="P243" t="str">
        <f t="shared" si="19"/>
        <v>May</v>
      </c>
      <c r="Q243" t="str">
        <f t="shared" si="20"/>
        <v>Q2</v>
      </c>
      <c r="R243" s="5" t="str">
        <f t="shared" si="21"/>
        <v>Large</v>
      </c>
      <c r="S243" s="5" t="str">
        <f t="shared" si="22"/>
        <v>Pending</v>
      </c>
      <c r="T243" s="5" t="str">
        <f t="shared" si="23"/>
        <v>Yes</v>
      </c>
    </row>
    <row r="244" spans="1:20"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c r="O244">
        <f t="shared" si="18"/>
        <v>438.2</v>
      </c>
      <c r="P244" t="str">
        <f t="shared" si="19"/>
        <v>May</v>
      </c>
      <c r="Q244" t="str">
        <f t="shared" si="20"/>
        <v>Q2</v>
      </c>
      <c r="R244" s="5" t="str">
        <f t="shared" si="21"/>
        <v>Medium</v>
      </c>
      <c r="S244" s="5" t="str">
        <f t="shared" si="22"/>
        <v>Pending</v>
      </c>
      <c r="T244" s="5" t="str">
        <f t="shared" si="23"/>
        <v>Yes</v>
      </c>
    </row>
    <row r="245" spans="1:20"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c r="O245">
        <f t="shared" si="18"/>
        <v>289.32</v>
      </c>
      <c r="P245" t="str">
        <f t="shared" si="19"/>
        <v>May</v>
      </c>
      <c r="Q245" t="str">
        <f t="shared" si="20"/>
        <v>Q2</v>
      </c>
      <c r="R245" s="5" t="str">
        <f t="shared" si="21"/>
        <v>Medium</v>
      </c>
      <c r="S245" s="5" t="str">
        <f t="shared" si="22"/>
        <v>Pending</v>
      </c>
      <c r="T245" s="5" t="str">
        <f t="shared" si="23"/>
        <v>Yes</v>
      </c>
    </row>
    <row r="246" spans="1:20"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c r="O246">
        <f t="shared" si="18"/>
        <v>635.54</v>
      </c>
      <c r="P246" t="str">
        <f t="shared" si="19"/>
        <v>Feb</v>
      </c>
      <c r="Q246" t="str">
        <f t="shared" si="20"/>
        <v>Q1</v>
      </c>
      <c r="R246" s="5" t="str">
        <f t="shared" si="21"/>
        <v>Large</v>
      </c>
      <c r="S246" s="5" t="str">
        <f t="shared" si="22"/>
        <v>Pending</v>
      </c>
      <c r="T246" s="5" t="str">
        <f t="shared" si="23"/>
        <v>Yes</v>
      </c>
    </row>
    <row r="247" spans="1:20" x14ac:dyDescent="0.35">
      <c r="A247" t="s">
        <v>259</v>
      </c>
      <c r="B247" s="2">
        <v>45767</v>
      </c>
      <c r="C247" t="s">
        <v>1459</v>
      </c>
      <c r="D247" t="s">
        <v>2408</v>
      </c>
      <c r="E247">
        <v>1</v>
      </c>
      <c r="F247">
        <v>223.3</v>
      </c>
      <c r="G247" t="s">
        <v>2622</v>
      </c>
      <c r="H247" t="s">
        <v>3066</v>
      </c>
      <c r="I247" t="s">
        <v>3072</v>
      </c>
      <c r="J247" t="s">
        <v>3320</v>
      </c>
      <c r="K247">
        <v>1</v>
      </c>
      <c r="L247" t="s">
        <v>4329</v>
      </c>
      <c r="M247" t="s">
        <v>4281</v>
      </c>
      <c r="N247">
        <v>223.3</v>
      </c>
      <c r="O247">
        <f t="shared" si="18"/>
        <v>223.3</v>
      </c>
      <c r="P247" t="str">
        <f t="shared" si="19"/>
        <v>Apr</v>
      </c>
      <c r="Q247" t="str">
        <f t="shared" si="20"/>
        <v>Q2</v>
      </c>
      <c r="R247" s="5" t="str">
        <f t="shared" si="21"/>
        <v>Medium</v>
      </c>
      <c r="S247" s="5" t="str">
        <f t="shared" si="22"/>
        <v>Pending</v>
      </c>
      <c r="T247" s="5" t="str">
        <f t="shared" si="23"/>
        <v>Yes</v>
      </c>
    </row>
    <row r="248" spans="1:20"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c r="O248">
        <f t="shared" si="18"/>
        <v>684.22</v>
      </c>
      <c r="P248" t="str">
        <f t="shared" si="19"/>
        <v>Aug</v>
      </c>
      <c r="Q248" t="str">
        <f t="shared" si="20"/>
        <v>Q3</v>
      </c>
      <c r="R248" s="5" t="str">
        <f t="shared" si="21"/>
        <v>Large</v>
      </c>
      <c r="S248" s="5" t="str">
        <f t="shared" si="22"/>
        <v>Pending</v>
      </c>
      <c r="T248" s="5" t="str">
        <f t="shared" si="23"/>
        <v>Yes</v>
      </c>
    </row>
    <row r="249" spans="1:20" x14ac:dyDescent="0.35">
      <c r="A249" t="s">
        <v>261</v>
      </c>
      <c r="B249" s="2">
        <v>45127</v>
      </c>
      <c r="C249" t="s">
        <v>1461</v>
      </c>
      <c r="D249" t="s">
        <v>2407</v>
      </c>
      <c r="E249">
        <v>2</v>
      </c>
      <c r="F249">
        <v>220.9</v>
      </c>
      <c r="G249" t="s">
        <v>2624</v>
      </c>
      <c r="H249" t="s">
        <v>3068</v>
      </c>
      <c r="I249" t="s">
        <v>3070</v>
      </c>
      <c r="J249" t="s">
        <v>3322</v>
      </c>
      <c r="K249">
        <v>4</v>
      </c>
      <c r="L249" t="s">
        <v>4329</v>
      </c>
      <c r="M249" t="s">
        <v>4280</v>
      </c>
      <c r="N249">
        <v>441.8</v>
      </c>
      <c r="O249">
        <f t="shared" si="18"/>
        <v>441.8</v>
      </c>
      <c r="P249" t="str">
        <f t="shared" si="19"/>
        <v>Jul</v>
      </c>
      <c r="Q249" t="str">
        <f t="shared" si="20"/>
        <v>Q3</v>
      </c>
      <c r="R249" s="5" t="str">
        <f t="shared" si="21"/>
        <v>Medium</v>
      </c>
      <c r="S249" s="5" t="str">
        <f t="shared" si="22"/>
        <v>Pending</v>
      </c>
      <c r="T249" s="5" t="str">
        <f t="shared" si="23"/>
        <v>Yes</v>
      </c>
    </row>
    <row r="250" spans="1:20"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c r="O250">
        <f t="shared" si="18"/>
        <v>670.54</v>
      </c>
      <c r="P250" t="str">
        <f t="shared" si="19"/>
        <v>Jul</v>
      </c>
      <c r="Q250" t="str">
        <f t="shared" si="20"/>
        <v>Q3</v>
      </c>
      <c r="R250" s="5" t="str">
        <f t="shared" si="21"/>
        <v>Large</v>
      </c>
      <c r="S250" s="5" t="str">
        <f t="shared" si="22"/>
        <v>Pending</v>
      </c>
      <c r="T250" s="5" t="str">
        <f t="shared" si="23"/>
        <v>Yes</v>
      </c>
    </row>
    <row r="251" spans="1:20"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c r="O251">
        <f t="shared" si="18"/>
        <v>546.19000000000005</v>
      </c>
      <c r="P251" t="str">
        <f t="shared" si="19"/>
        <v>Feb</v>
      </c>
      <c r="Q251" t="str">
        <f t="shared" si="20"/>
        <v>Q1</v>
      </c>
      <c r="R251" s="5" t="str">
        <f t="shared" si="21"/>
        <v>Large</v>
      </c>
      <c r="S251" s="5" t="str">
        <f t="shared" si="22"/>
        <v>Pending</v>
      </c>
      <c r="T251" s="5" t="str">
        <f t="shared" si="23"/>
        <v>Yes</v>
      </c>
    </row>
    <row r="252" spans="1:20"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c r="O252">
        <f t="shared" si="18"/>
        <v>128.85000000000002</v>
      </c>
      <c r="P252" t="str">
        <f t="shared" si="19"/>
        <v>Apr</v>
      </c>
      <c r="Q252" t="str">
        <f t="shared" si="20"/>
        <v>Q2</v>
      </c>
      <c r="R252" s="5" t="str">
        <f t="shared" si="21"/>
        <v>Medium</v>
      </c>
      <c r="S252" s="5" t="str">
        <f t="shared" si="22"/>
        <v>Pending</v>
      </c>
      <c r="T252" s="5" t="str">
        <f t="shared" si="23"/>
        <v>Yes</v>
      </c>
    </row>
    <row r="253" spans="1:20" x14ac:dyDescent="0.35">
      <c r="A253" t="s">
        <v>265</v>
      </c>
      <c r="B253" s="2">
        <v>45792</v>
      </c>
      <c r="C253" t="s">
        <v>1465</v>
      </c>
      <c r="D253" t="s">
        <v>2403</v>
      </c>
      <c r="E253">
        <v>4</v>
      </c>
      <c r="F253">
        <v>14.69</v>
      </c>
      <c r="G253" t="s">
        <v>2627</v>
      </c>
      <c r="H253" t="s">
        <v>3069</v>
      </c>
      <c r="I253" t="s">
        <v>3071</v>
      </c>
      <c r="J253" t="s">
        <v>3326</v>
      </c>
      <c r="K253">
        <v>9</v>
      </c>
      <c r="L253" t="s">
        <v>4329</v>
      </c>
      <c r="M253" t="s">
        <v>4280</v>
      </c>
      <c r="N253">
        <v>58.76</v>
      </c>
      <c r="O253">
        <f t="shared" si="18"/>
        <v>58.76</v>
      </c>
      <c r="P253" t="str">
        <f t="shared" si="19"/>
        <v>May</v>
      </c>
      <c r="Q253" t="str">
        <f t="shared" si="20"/>
        <v>Q2</v>
      </c>
      <c r="R253" s="5" t="str">
        <f t="shared" si="21"/>
        <v>Small</v>
      </c>
      <c r="S253" s="5" t="str">
        <f t="shared" si="22"/>
        <v>Pending</v>
      </c>
      <c r="T253" s="5" t="str">
        <f t="shared" si="23"/>
        <v>Yes</v>
      </c>
    </row>
    <row r="254" spans="1:20"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c r="O254">
        <f t="shared" si="18"/>
        <v>2673.44</v>
      </c>
      <c r="P254" t="str">
        <f t="shared" si="19"/>
        <v>Sep</v>
      </c>
      <c r="Q254" t="str">
        <f t="shared" si="20"/>
        <v>Q3</v>
      </c>
      <c r="R254" s="5" t="str">
        <f t="shared" si="21"/>
        <v>Large</v>
      </c>
      <c r="S254" s="5" t="str">
        <f t="shared" si="22"/>
        <v>Pending</v>
      </c>
      <c r="T254" s="5" t="str">
        <f t="shared" si="23"/>
        <v>Yes</v>
      </c>
    </row>
    <row r="255" spans="1:20"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c r="O255">
        <f t="shared" si="18"/>
        <v>1654.96</v>
      </c>
      <c r="P255" t="str">
        <f t="shared" si="19"/>
        <v>Mar</v>
      </c>
      <c r="Q255" t="str">
        <f t="shared" si="20"/>
        <v>Q1</v>
      </c>
      <c r="R255" s="5" t="str">
        <f t="shared" si="21"/>
        <v>Large</v>
      </c>
      <c r="S255" s="5" t="str">
        <f t="shared" si="22"/>
        <v>Pending</v>
      </c>
      <c r="T255" s="5" t="str">
        <f t="shared" si="23"/>
        <v>Yes</v>
      </c>
    </row>
    <row r="256" spans="1:20" x14ac:dyDescent="0.35">
      <c r="A256" t="s">
        <v>268</v>
      </c>
      <c r="B256" s="2">
        <v>45286</v>
      </c>
      <c r="C256" t="s">
        <v>1468</v>
      </c>
      <c r="D256" t="s">
        <v>2403</v>
      </c>
      <c r="E256">
        <v>3</v>
      </c>
      <c r="F256">
        <v>263.19</v>
      </c>
      <c r="G256" t="s">
        <v>2615</v>
      </c>
      <c r="H256" t="s">
        <v>3066</v>
      </c>
      <c r="I256" t="s">
        <v>3073</v>
      </c>
      <c r="J256" t="s">
        <v>3329</v>
      </c>
      <c r="K256">
        <v>5</v>
      </c>
      <c r="L256" t="s">
        <v>4329</v>
      </c>
      <c r="M256" t="s">
        <v>4278</v>
      </c>
      <c r="N256">
        <v>789.56999999999994</v>
      </c>
      <c r="O256">
        <f t="shared" si="18"/>
        <v>789.56999999999994</v>
      </c>
      <c r="P256" t="str">
        <f t="shared" si="19"/>
        <v>Dec</v>
      </c>
      <c r="Q256" t="str">
        <f t="shared" si="20"/>
        <v>Q4</v>
      </c>
      <c r="R256" s="5" t="str">
        <f t="shared" si="21"/>
        <v>Large</v>
      </c>
      <c r="S256" s="5" t="str">
        <f t="shared" si="22"/>
        <v>Completed</v>
      </c>
      <c r="T256" s="5" t="str">
        <f t="shared" si="23"/>
        <v>Yes</v>
      </c>
    </row>
    <row r="257" spans="1:20"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c r="O257">
        <f t="shared" si="18"/>
        <v>263.95999999999998</v>
      </c>
      <c r="P257" t="str">
        <f t="shared" si="19"/>
        <v>May</v>
      </c>
      <c r="Q257" t="str">
        <f t="shared" si="20"/>
        <v>Q2</v>
      </c>
      <c r="R257" s="5" t="str">
        <f t="shared" si="21"/>
        <v>Medium</v>
      </c>
      <c r="S257" s="5" t="str">
        <f t="shared" si="22"/>
        <v>Pending</v>
      </c>
      <c r="T257" s="5" t="str">
        <f t="shared" si="23"/>
        <v>Yes</v>
      </c>
    </row>
    <row r="258" spans="1:20"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c r="O258">
        <f t="shared" ref="O258:O321" si="24">E258*F258</f>
        <v>379.05</v>
      </c>
      <c r="P258" t="str">
        <f t="shared" ref="P258:P321" si="25">TEXT(B258, "mmm")</f>
        <v>Jun</v>
      </c>
      <c r="Q258" t="str">
        <f t="shared" ref="Q258:Q321" si="26">"Q"&amp;ROUNDUP(MONTH(B258)/3,0)</f>
        <v>Q2</v>
      </c>
      <c r="R258" s="5" t="str">
        <f t="shared" ref="R258:R321" si="27">IF(N258&lt;100,"Small", IF(N258&lt;500, "Medium", "Large"))</f>
        <v>Medium</v>
      </c>
      <c r="S258" s="5" t="str">
        <f t="shared" ref="S258:S321" si="28">IF(I258="Delivered","Completed","Pending")</f>
        <v>Pending</v>
      </c>
      <c r="T258" s="5" t="str">
        <f t="shared" ref="T258:T321" si="29">IF(L258="","No", "Yes")</f>
        <v>Yes</v>
      </c>
    </row>
    <row r="259" spans="1:20"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c r="O259">
        <f t="shared" si="24"/>
        <v>406.22</v>
      </c>
      <c r="P259" t="str">
        <f t="shared" si="25"/>
        <v>Apr</v>
      </c>
      <c r="Q259" t="str">
        <f t="shared" si="26"/>
        <v>Q2</v>
      </c>
      <c r="R259" s="5" t="str">
        <f t="shared" si="27"/>
        <v>Medium</v>
      </c>
      <c r="S259" s="5" t="str">
        <f t="shared" si="28"/>
        <v>Pending</v>
      </c>
      <c r="T259" s="5" t="str">
        <f t="shared" si="29"/>
        <v>Yes</v>
      </c>
    </row>
    <row r="260" spans="1:20"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c r="O260">
        <f t="shared" si="24"/>
        <v>206.82</v>
      </c>
      <c r="P260" t="str">
        <f t="shared" si="25"/>
        <v>Feb</v>
      </c>
      <c r="Q260" t="str">
        <f t="shared" si="26"/>
        <v>Q1</v>
      </c>
      <c r="R260" s="5" t="str">
        <f t="shared" si="27"/>
        <v>Medium</v>
      </c>
      <c r="S260" s="5" t="str">
        <f t="shared" si="28"/>
        <v>Pending</v>
      </c>
      <c r="T260" s="5" t="str">
        <f t="shared" si="29"/>
        <v>Yes</v>
      </c>
    </row>
    <row r="261" spans="1:20"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c r="O261">
        <f t="shared" si="24"/>
        <v>1740.48</v>
      </c>
      <c r="P261" t="str">
        <f t="shared" si="25"/>
        <v>Jun</v>
      </c>
      <c r="Q261" t="str">
        <f t="shared" si="26"/>
        <v>Q2</v>
      </c>
      <c r="R261" s="5" t="str">
        <f t="shared" si="27"/>
        <v>Large</v>
      </c>
      <c r="S261" s="5" t="str">
        <f t="shared" si="28"/>
        <v>Completed</v>
      </c>
      <c r="T261" s="5" t="str">
        <f t="shared" si="29"/>
        <v>Yes</v>
      </c>
    </row>
    <row r="262" spans="1:20" x14ac:dyDescent="0.35">
      <c r="A262" t="s">
        <v>274</v>
      </c>
      <c r="B262" s="2">
        <v>45063</v>
      </c>
      <c r="C262" t="s">
        <v>1474</v>
      </c>
      <c r="D262" t="s">
        <v>2403</v>
      </c>
      <c r="E262">
        <v>2</v>
      </c>
      <c r="F262">
        <v>407.79</v>
      </c>
      <c r="G262" t="s">
        <v>2632</v>
      </c>
      <c r="H262" t="s">
        <v>3065</v>
      </c>
      <c r="I262" t="s">
        <v>3070</v>
      </c>
      <c r="J262" t="s">
        <v>3335</v>
      </c>
      <c r="K262">
        <v>3</v>
      </c>
      <c r="L262" t="s">
        <v>4329</v>
      </c>
      <c r="M262" t="s">
        <v>4282</v>
      </c>
      <c r="N262">
        <v>815.58</v>
      </c>
      <c r="O262">
        <f t="shared" si="24"/>
        <v>815.58</v>
      </c>
      <c r="P262" t="str">
        <f t="shared" si="25"/>
        <v>May</v>
      </c>
      <c r="Q262" t="str">
        <f t="shared" si="26"/>
        <v>Q2</v>
      </c>
      <c r="R262" s="5" t="str">
        <f t="shared" si="27"/>
        <v>Large</v>
      </c>
      <c r="S262" s="5" t="str">
        <f t="shared" si="28"/>
        <v>Pending</v>
      </c>
      <c r="T262" s="5" t="str">
        <f t="shared" si="29"/>
        <v>Yes</v>
      </c>
    </row>
    <row r="263" spans="1:20"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c r="O263">
        <f t="shared" si="24"/>
        <v>868.25</v>
      </c>
      <c r="P263" t="str">
        <f t="shared" si="25"/>
        <v>May</v>
      </c>
      <c r="Q263" t="str">
        <f t="shared" si="26"/>
        <v>Q2</v>
      </c>
      <c r="R263" s="5" t="str">
        <f t="shared" si="27"/>
        <v>Large</v>
      </c>
      <c r="S263" s="5" t="str">
        <f t="shared" si="28"/>
        <v>Completed</v>
      </c>
      <c r="T263" s="5" t="str">
        <f t="shared" si="29"/>
        <v>Yes</v>
      </c>
    </row>
    <row r="264" spans="1:20"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c r="O264">
        <f t="shared" si="24"/>
        <v>996.28</v>
      </c>
      <c r="P264" t="str">
        <f t="shared" si="25"/>
        <v>Jan</v>
      </c>
      <c r="Q264" t="str">
        <f t="shared" si="26"/>
        <v>Q1</v>
      </c>
      <c r="R264" s="5" t="str">
        <f t="shared" si="27"/>
        <v>Large</v>
      </c>
      <c r="S264" s="5" t="str">
        <f t="shared" si="28"/>
        <v>Pending</v>
      </c>
      <c r="T264" s="5" t="str">
        <f t="shared" si="29"/>
        <v>Yes</v>
      </c>
    </row>
    <row r="265" spans="1:20"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c r="O265">
        <f t="shared" si="24"/>
        <v>1739.4</v>
      </c>
      <c r="P265" t="str">
        <f t="shared" si="25"/>
        <v>Mar</v>
      </c>
      <c r="Q265" t="str">
        <f t="shared" si="26"/>
        <v>Q1</v>
      </c>
      <c r="R265" s="5" t="str">
        <f t="shared" si="27"/>
        <v>Large</v>
      </c>
      <c r="S265" s="5" t="str">
        <f t="shared" si="28"/>
        <v>Pending</v>
      </c>
      <c r="T265" s="5" t="str">
        <f t="shared" si="29"/>
        <v>Yes</v>
      </c>
    </row>
    <row r="266" spans="1:20"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c r="O266">
        <f t="shared" si="24"/>
        <v>436.77</v>
      </c>
      <c r="P266" t="str">
        <f t="shared" si="25"/>
        <v>Aug</v>
      </c>
      <c r="Q266" t="str">
        <f t="shared" si="26"/>
        <v>Q3</v>
      </c>
      <c r="R266" s="5" t="str">
        <f t="shared" si="27"/>
        <v>Medium</v>
      </c>
      <c r="S266" s="5" t="str">
        <f t="shared" si="28"/>
        <v>Pending</v>
      </c>
      <c r="T266" s="5" t="str">
        <f t="shared" si="29"/>
        <v>Yes</v>
      </c>
    </row>
    <row r="267" spans="1:20"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c r="O267">
        <f t="shared" si="24"/>
        <v>572.13</v>
      </c>
      <c r="P267" t="str">
        <f t="shared" si="25"/>
        <v>Dec</v>
      </c>
      <c r="Q267" t="str">
        <f t="shared" si="26"/>
        <v>Q4</v>
      </c>
      <c r="R267" s="5" t="str">
        <f t="shared" si="27"/>
        <v>Large</v>
      </c>
      <c r="S267" s="5" t="str">
        <f t="shared" si="28"/>
        <v>Pending</v>
      </c>
      <c r="T267" s="5" t="str">
        <f t="shared" si="29"/>
        <v>Yes</v>
      </c>
    </row>
    <row r="268" spans="1:20"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c r="O268">
        <f t="shared" si="24"/>
        <v>2332.2800000000002</v>
      </c>
      <c r="P268" t="str">
        <f t="shared" si="25"/>
        <v>Jun</v>
      </c>
      <c r="Q268" t="str">
        <f t="shared" si="26"/>
        <v>Q2</v>
      </c>
      <c r="R268" s="5" t="str">
        <f t="shared" si="27"/>
        <v>Large</v>
      </c>
      <c r="S268" s="5" t="str">
        <f t="shared" si="28"/>
        <v>Pending</v>
      </c>
      <c r="T268" s="5" t="str">
        <f t="shared" si="29"/>
        <v>Yes</v>
      </c>
    </row>
    <row r="269" spans="1:20" x14ac:dyDescent="0.35">
      <c r="A269" t="s">
        <v>281</v>
      </c>
      <c r="B269" s="2">
        <v>45764</v>
      </c>
      <c r="C269" t="s">
        <v>1481</v>
      </c>
      <c r="D269" t="s">
        <v>2406</v>
      </c>
      <c r="E269">
        <v>5</v>
      </c>
      <c r="F269">
        <v>468.51</v>
      </c>
      <c r="G269" t="s">
        <v>2638</v>
      </c>
      <c r="H269" t="s">
        <v>3065</v>
      </c>
      <c r="I269" t="s">
        <v>3073</v>
      </c>
      <c r="J269" t="s">
        <v>3342</v>
      </c>
      <c r="K269">
        <v>9</v>
      </c>
      <c r="L269" t="s">
        <v>4329</v>
      </c>
      <c r="M269" t="s">
        <v>4281</v>
      </c>
      <c r="N269">
        <v>2342.5500000000002</v>
      </c>
      <c r="O269">
        <f t="shared" si="24"/>
        <v>2342.5500000000002</v>
      </c>
      <c r="P269" t="str">
        <f t="shared" si="25"/>
        <v>Apr</v>
      </c>
      <c r="Q269" t="str">
        <f t="shared" si="26"/>
        <v>Q2</v>
      </c>
      <c r="R269" s="5" t="str">
        <f t="shared" si="27"/>
        <v>Large</v>
      </c>
      <c r="S269" s="5" t="str">
        <f t="shared" si="28"/>
        <v>Completed</v>
      </c>
      <c r="T269" s="5" t="str">
        <f t="shared" si="29"/>
        <v>Yes</v>
      </c>
    </row>
    <row r="270" spans="1:20"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c r="O270">
        <f t="shared" si="24"/>
        <v>847.76</v>
      </c>
      <c r="P270" t="str">
        <f t="shared" si="25"/>
        <v>Aug</v>
      </c>
      <c r="Q270" t="str">
        <f t="shared" si="26"/>
        <v>Q3</v>
      </c>
      <c r="R270" s="5" t="str">
        <f t="shared" si="27"/>
        <v>Large</v>
      </c>
      <c r="S270" s="5" t="str">
        <f t="shared" si="28"/>
        <v>Completed</v>
      </c>
      <c r="T270" s="5" t="str">
        <f t="shared" si="29"/>
        <v>Yes</v>
      </c>
    </row>
    <row r="271" spans="1:20"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c r="O271">
        <f t="shared" si="24"/>
        <v>2654.68</v>
      </c>
      <c r="P271" t="str">
        <f t="shared" si="25"/>
        <v>Nov</v>
      </c>
      <c r="Q271" t="str">
        <f t="shared" si="26"/>
        <v>Q4</v>
      </c>
      <c r="R271" s="5" t="str">
        <f t="shared" si="27"/>
        <v>Large</v>
      </c>
      <c r="S271" s="5" t="str">
        <f t="shared" si="28"/>
        <v>Pending</v>
      </c>
      <c r="T271" s="5" t="str">
        <f t="shared" si="29"/>
        <v>Yes</v>
      </c>
    </row>
    <row r="272" spans="1:20"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c r="O272">
        <f t="shared" si="24"/>
        <v>1239.6400000000001</v>
      </c>
      <c r="P272" t="str">
        <f t="shared" si="25"/>
        <v>Jun</v>
      </c>
      <c r="Q272" t="str">
        <f t="shared" si="26"/>
        <v>Q2</v>
      </c>
      <c r="R272" s="5" t="str">
        <f t="shared" si="27"/>
        <v>Large</v>
      </c>
      <c r="S272" s="5" t="str">
        <f t="shared" si="28"/>
        <v>Pending</v>
      </c>
      <c r="T272" s="5" t="str">
        <f t="shared" si="29"/>
        <v>Yes</v>
      </c>
    </row>
    <row r="273" spans="1:20"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c r="O273">
        <f t="shared" si="24"/>
        <v>542.07000000000005</v>
      </c>
      <c r="P273" t="str">
        <f t="shared" si="25"/>
        <v>Mar</v>
      </c>
      <c r="Q273" t="str">
        <f t="shared" si="26"/>
        <v>Q1</v>
      </c>
      <c r="R273" s="5" t="str">
        <f t="shared" si="27"/>
        <v>Large</v>
      </c>
      <c r="S273" s="5" t="str">
        <f t="shared" si="28"/>
        <v>Pending</v>
      </c>
      <c r="T273" s="5" t="str">
        <f t="shared" si="29"/>
        <v>Yes</v>
      </c>
    </row>
    <row r="274" spans="1:20"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c r="O274">
        <f t="shared" si="24"/>
        <v>798.64</v>
      </c>
      <c r="P274" t="str">
        <f t="shared" si="25"/>
        <v>Sep</v>
      </c>
      <c r="Q274" t="str">
        <f t="shared" si="26"/>
        <v>Q3</v>
      </c>
      <c r="R274" s="5" t="str">
        <f t="shared" si="27"/>
        <v>Large</v>
      </c>
      <c r="S274" s="5" t="str">
        <f t="shared" si="28"/>
        <v>Pending</v>
      </c>
      <c r="T274" s="5" t="str">
        <f t="shared" si="29"/>
        <v>Yes</v>
      </c>
    </row>
    <row r="275" spans="1:20"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c r="O275">
        <f t="shared" si="24"/>
        <v>476.5</v>
      </c>
      <c r="P275" t="str">
        <f t="shared" si="25"/>
        <v>Oct</v>
      </c>
      <c r="Q275" t="str">
        <f t="shared" si="26"/>
        <v>Q4</v>
      </c>
      <c r="R275" s="5" t="str">
        <f t="shared" si="27"/>
        <v>Medium</v>
      </c>
      <c r="S275" s="5" t="str">
        <f t="shared" si="28"/>
        <v>Pending</v>
      </c>
      <c r="T275" s="5" t="str">
        <f t="shared" si="29"/>
        <v>Yes</v>
      </c>
    </row>
    <row r="276" spans="1:20"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c r="O276">
        <f t="shared" si="24"/>
        <v>364.8</v>
      </c>
      <c r="P276" t="str">
        <f t="shared" si="25"/>
        <v>Feb</v>
      </c>
      <c r="Q276" t="str">
        <f t="shared" si="26"/>
        <v>Q1</v>
      </c>
      <c r="R276" s="5" t="str">
        <f t="shared" si="27"/>
        <v>Medium</v>
      </c>
      <c r="S276" s="5" t="str">
        <f t="shared" si="28"/>
        <v>Pending</v>
      </c>
      <c r="T276" s="5" t="str">
        <f t="shared" si="29"/>
        <v>Yes</v>
      </c>
    </row>
    <row r="277" spans="1:20"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c r="O277">
        <f t="shared" si="24"/>
        <v>130.13999999999999</v>
      </c>
      <c r="P277" t="str">
        <f t="shared" si="25"/>
        <v>Nov</v>
      </c>
      <c r="Q277" t="str">
        <f t="shared" si="26"/>
        <v>Q4</v>
      </c>
      <c r="R277" s="5" t="str">
        <f t="shared" si="27"/>
        <v>Medium</v>
      </c>
      <c r="S277" s="5" t="str">
        <f t="shared" si="28"/>
        <v>Pending</v>
      </c>
      <c r="T277" s="5" t="str">
        <f t="shared" si="29"/>
        <v>Yes</v>
      </c>
    </row>
    <row r="278" spans="1:20"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c r="O278">
        <f t="shared" si="24"/>
        <v>1201.1400000000001</v>
      </c>
      <c r="P278" t="str">
        <f t="shared" si="25"/>
        <v>Mar</v>
      </c>
      <c r="Q278" t="str">
        <f t="shared" si="26"/>
        <v>Q1</v>
      </c>
      <c r="R278" s="5" t="str">
        <f t="shared" si="27"/>
        <v>Large</v>
      </c>
      <c r="S278" s="5" t="str">
        <f t="shared" si="28"/>
        <v>Pending</v>
      </c>
      <c r="T278" s="5" t="str">
        <f t="shared" si="29"/>
        <v>Yes</v>
      </c>
    </row>
    <row r="279" spans="1:20"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c r="O279">
        <f t="shared" si="24"/>
        <v>454.6</v>
      </c>
      <c r="P279" t="str">
        <f t="shared" si="25"/>
        <v>Sep</v>
      </c>
      <c r="Q279" t="str">
        <f t="shared" si="26"/>
        <v>Q3</v>
      </c>
      <c r="R279" s="5" t="str">
        <f t="shared" si="27"/>
        <v>Medium</v>
      </c>
      <c r="S279" s="5" t="str">
        <f t="shared" si="28"/>
        <v>Completed</v>
      </c>
      <c r="T279" s="5" t="str">
        <f t="shared" si="29"/>
        <v>Yes</v>
      </c>
    </row>
    <row r="280" spans="1:20"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c r="O280">
        <f t="shared" si="24"/>
        <v>1812.3</v>
      </c>
      <c r="P280" t="str">
        <f t="shared" si="25"/>
        <v>Nov</v>
      </c>
      <c r="Q280" t="str">
        <f t="shared" si="26"/>
        <v>Q4</v>
      </c>
      <c r="R280" s="5" t="str">
        <f t="shared" si="27"/>
        <v>Large</v>
      </c>
      <c r="S280" s="5" t="str">
        <f t="shared" si="28"/>
        <v>Completed</v>
      </c>
      <c r="T280" s="5" t="str">
        <f t="shared" si="29"/>
        <v>Yes</v>
      </c>
    </row>
    <row r="281" spans="1:20"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c r="O281">
        <f t="shared" si="24"/>
        <v>165.03</v>
      </c>
      <c r="P281" t="str">
        <f t="shared" si="25"/>
        <v>Oct</v>
      </c>
      <c r="Q281" t="str">
        <f t="shared" si="26"/>
        <v>Q4</v>
      </c>
      <c r="R281" s="5" t="str">
        <f t="shared" si="27"/>
        <v>Medium</v>
      </c>
      <c r="S281" s="5" t="str">
        <f t="shared" si="28"/>
        <v>Pending</v>
      </c>
      <c r="T281" s="5" t="str">
        <f t="shared" si="29"/>
        <v>Yes</v>
      </c>
    </row>
    <row r="282" spans="1:20"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c r="O282">
        <f t="shared" si="24"/>
        <v>1213.8600000000001</v>
      </c>
      <c r="P282" t="str">
        <f t="shared" si="25"/>
        <v>Mar</v>
      </c>
      <c r="Q282" t="str">
        <f t="shared" si="26"/>
        <v>Q1</v>
      </c>
      <c r="R282" s="5" t="str">
        <f t="shared" si="27"/>
        <v>Large</v>
      </c>
      <c r="S282" s="5" t="str">
        <f t="shared" si="28"/>
        <v>Completed</v>
      </c>
      <c r="T282" s="5" t="str">
        <f t="shared" si="29"/>
        <v>Yes</v>
      </c>
    </row>
    <row r="283" spans="1:20" x14ac:dyDescent="0.35">
      <c r="A283" t="s">
        <v>295</v>
      </c>
      <c r="B283" s="2">
        <v>45134</v>
      </c>
      <c r="C283" t="s">
        <v>1495</v>
      </c>
      <c r="D283" t="s">
        <v>2409</v>
      </c>
      <c r="E283">
        <v>4</v>
      </c>
      <c r="F283">
        <v>654.79</v>
      </c>
      <c r="G283" t="s">
        <v>2651</v>
      </c>
      <c r="H283" t="s">
        <v>3069</v>
      </c>
      <c r="I283" t="s">
        <v>3074</v>
      </c>
      <c r="J283" t="s">
        <v>3356</v>
      </c>
      <c r="K283">
        <v>9</v>
      </c>
      <c r="L283" t="s">
        <v>4329</v>
      </c>
      <c r="M283" t="s">
        <v>4279</v>
      </c>
      <c r="N283">
        <v>2619.16</v>
      </c>
      <c r="O283">
        <f t="shared" si="24"/>
        <v>2619.16</v>
      </c>
      <c r="P283" t="str">
        <f t="shared" si="25"/>
        <v>Jul</v>
      </c>
      <c r="Q283" t="str">
        <f t="shared" si="26"/>
        <v>Q3</v>
      </c>
      <c r="R283" s="5" t="str">
        <f t="shared" si="27"/>
        <v>Large</v>
      </c>
      <c r="S283" s="5" t="str">
        <f t="shared" si="28"/>
        <v>Pending</v>
      </c>
      <c r="T283" s="5" t="str">
        <f t="shared" si="29"/>
        <v>Yes</v>
      </c>
    </row>
    <row r="284" spans="1:20"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c r="O284">
        <f t="shared" si="24"/>
        <v>2551.16</v>
      </c>
      <c r="P284" t="str">
        <f t="shared" si="25"/>
        <v>Apr</v>
      </c>
      <c r="Q284" t="str">
        <f t="shared" si="26"/>
        <v>Q2</v>
      </c>
      <c r="R284" s="5" t="str">
        <f t="shared" si="27"/>
        <v>Large</v>
      </c>
      <c r="S284" s="5" t="str">
        <f t="shared" si="28"/>
        <v>Pending</v>
      </c>
      <c r="T284" s="5" t="str">
        <f t="shared" si="29"/>
        <v>Yes</v>
      </c>
    </row>
    <row r="285" spans="1:20" x14ac:dyDescent="0.35">
      <c r="A285" t="s">
        <v>297</v>
      </c>
      <c r="B285" s="2">
        <v>45716</v>
      </c>
      <c r="C285" t="s">
        <v>1497</v>
      </c>
      <c r="D285" t="s">
        <v>2408</v>
      </c>
      <c r="E285">
        <v>4</v>
      </c>
      <c r="F285">
        <v>540.33000000000004</v>
      </c>
      <c r="G285" t="s">
        <v>2653</v>
      </c>
      <c r="H285" t="s">
        <v>3069</v>
      </c>
      <c r="I285" t="s">
        <v>3070</v>
      </c>
      <c r="J285" t="s">
        <v>3358</v>
      </c>
      <c r="K285">
        <v>6</v>
      </c>
      <c r="L285" t="s">
        <v>4329</v>
      </c>
      <c r="M285" t="s">
        <v>4282</v>
      </c>
      <c r="N285">
        <v>2161.3200000000002</v>
      </c>
      <c r="O285">
        <f t="shared" si="24"/>
        <v>2161.3200000000002</v>
      </c>
      <c r="P285" t="str">
        <f t="shared" si="25"/>
        <v>Feb</v>
      </c>
      <c r="Q285" t="str">
        <f t="shared" si="26"/>
        <v>Q1</v>
      </c>
      <c r="R285" s="5" t="str">
        <f t="shared" si="27"/>
        <v>Large</v>
      </c>
      <c r="S285" s="5" t="str">
        <f t="shared" si="28"/>
        <v>Pending</v>
      </c>
      <c r="T285" s="5" t="str">
        <f t="shared" si="29"/>
        <v>Yes</v>
      </c>
    </row>
    <row r="286" spans="1:20"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c r="O286">
        <f t="shared" si="24"/>
        <v>1040.8499999999999</v>
      </c>
      <c r="P286" t="str">
        <f t="shared" si="25"/>
        <v>Feb</v>
      </c>
      <c r="Q286" t="str">
        <f t="shared" si="26"/>
        <v>Q1</v>
      </c>
      <c r="R286" s="5" t="str">
        <f t="shared" si="27"/>
        <v>Large</v>
      </c>
      <c r="S286" s="5" t="str">
        <f t="shared" si="28"/>
        <v>Pending</v>
      </c>
      <c r="T286" s="5" t="str">
        <f t="shared" si="29"/>
        <v>Yes</v>
      </c>
    </row>
    <row r="287" spans="1:20" x14ac:dyDescent="0.35">
      <c r="A287" t="s">
        <v>299</v>
      </c>
      <c r="B287" s="2">
        <v>45818</v>
      </c>
      <c r="C287" t="s">
        <v>1499</v>
      </c>
      <c r="D287" t="s">
        <v>2404</v>
      </c>
      <c r="E287">
        <v>1</v>
      </c>
      <c r="F287">
        <v>338.31</v>
      </c>
      <c r="G287" t="s">
        <v>2643</v>
      </c>
      <c r="H287" t="s">
        <v>3066</v>
      </c>
      <c r="I287" t="s">
        <v>3073</v>
      </c>
      <c r="J287" t="s">
        <v>3360</v>
      </c>
      <c r="K287">
        <v>3</v>
      </c>
      <c r="L287" t="s">
        <v>4329</v>
      </c>
      <c r="M287" t="s">
        <v>4282</v>
      </c>
      <c r="N287">
        <v>338.31</v>
      </c>
      <c r="O287">
        <f t="shared" si="24"/>
        <v>338.31</v>
      </c>
      <c r="P287" t="str">
        <f t="shared" si="25"/>
        <v>Jun</v>
      </c>
      <c r="Q287" t="str">
        <f t="shared" si="26"/>
        <v>Q2</v>
      </c>
      <c r="R287" s="5" t="str">
        <f t="shared" si="27"/>
        <v>Medium</v>
      </c>
      <c r="S287" s="5" t="str">
        <f t="shared" si="28"/>
        <v>Completed</v>
      </c>
      <c r="T287" s="5" t="str">
        <f t="shared" si="29"/>
        <v>Yes</v>
      </c>
    </row>
    <row r="288" spans="1:20"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c r="O288">
        <f t="shared" si="24"/>
        <v>418.34999999999997</v>
      </c>
      <c r="P288" t="str">
        <f t="shared" si="25"/>
        <v>Apr</v>
      </c>
      <c r="Q288" t="str">
        <f t="shared" si="26"/>
        <v>Q2</v>
      </c>
      <c r="R288" s="5" t="str">
        <f t="shared" si="27"/>
        <v>Medium</v>
      </c>
      <c r="S288" s="5" t="str">
        <f t="shared" si="28"/>
        <v>Pending</v>
      </c>
      <c r="T288" s="5" t="str">
        <f t="shared" si="29"/>
        <v>Yes</v>
      </c>
    </row>
    <row r="289" spans="1:20" x14ac:dyDescent="0.35">
      <c r="A289" t="s">
        <v>301</v>
      </c>
      <c r="B289" s="2">
        <v>45254</v>
      </c>
      <c r="C289" t="s">
        <v>1501</v>
      </c>
      <c r="D289" t="s">
        <v>2406</v>
      </c>
      <c r="E289">
        <v>4</v>
      </c>
      <c r="F289">
        <v>655.17999999999995</v>
      </c>
      <c r="G289" t="s">
        <v>2655</v>
      </c>
      <c r="H289" t="s">
        <v>3066</v>
      </c>
      <c r="I289" t="s">
        <v>3070</v>
      </c>
      <c r="J289" t="s">
        <v>3362</v>
      </c>
      <c r="K289">
        <v>5</v>
      </c>
      <c r="L289" t="s">
        <v>4329</v>
      </c>
      <c r="M289" t="s">
        <v>4281</v>
      </c>
      <c r="N289">
        <v>2620.7199999999998</v>
      </c>
      <c r="O289">
        <f t="shared" si="24"/>
        <v>2620.7199999999998</v>
      </c>
      <c r="P289" t="str">
        <f t="shared" si="25"/>
        <v>Nov</v>
      </c>
      <c r="Q289" t="str">
        <f t="shared" si="26"/>
        <v>Q4</v>
      </c>
      <c r="R289" s="5" t="str">
        <f t="shared" si="27"/>
        <v>Large</v>
      </c>
      <c r="S289" s="5" t="str">
        <f t="shared" si="28"/>
        <v>Pending</v>
      </c>
      <c r="T289" s="5" t="str">
        <f t="shared" si="29"/>
        <v>Yes</v>
      </c>
    </row>
    <row r="290" spans="1:20"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c r="O290">
        <f t="shared" si="24"/>
        <v>2051</v>
      </c>
      <c r="P290" t="str">
        <f t="shared" si="25"/>
        <v>Mar</v>
      </c>
      <c r="Q290" t="str">
        <f t="shared" si="26"/>
        <v>Q1</v>
      </c>
      <c r="R290" s="5" t="str">
        <f t="shared" si="27"/>
        <v>Large</v>
      </c>
      <c r="S290" s="5" t="str">
        <f t="shared" si="28"/>
        <v>Pending</v>
      </c>
      <c r="T290" s="5" t="str">
        <f t="shared" si="29"/>
        <v>Yes</v>
      </c>
    </row>
    <row r="291" spans="1:20"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c r="O291">
        <f t="shared" si="24"/>
        <v>641.96</v>
      </c>
      <c r="P291" t="str">
        <f t="shared" si="25"/>
        <v>Jul</v>
      </c>
      <c r="Q291" t="str">
        <f t="shared" si="26"/>
        <v>Q3</v>
      </c>
      <c r="R291" s="5" t="str">
        <f t="shared" si="27"/>
        <v>Large</v>
      </c>
      <c r="S291" s="5" t="str">
        <f t="shared" si="28"/>
        <v>Pending</v>
      </c>
      <c r="T291" s="5" t="str">
        <f t="shared" si="29"/>
        <v>Yes</v>
      </c>
    </row>
    <row r="292" spans="1:20"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c r="O292">
        <f t="shared" si="24"/>
        <v>299.70000000000005</v>
      </c>
      <c r="P292" t="str">
        <f t="shared" si="25"/>
        <v>May</v>
      </c>
      <c r="Q292" t="str">
        <f t="shared" si="26"/>
        <v>Q2</v>
      </c>
      <c r="R292" s="5" t="str">
        <f t="shared" si="27"/>
        <v>Medium</v>
      </c>
      <c r="S292" s="5" t="str">
        <f t="shared" si="28"/>
        <v>Completed</v>
      </c>
      <c r="T292" s="5" t="str">
        <f t="shared" si="29"/>
        <v>Yes</v>
      </c>
    </row>
    <row r="293" spans="1:20"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c r="O293">
        <f t="shared" si="24"/>
        <v>690.02</v>
      </c>
      <c r="P293" t="str">
        <f t="shared" si="25"/>
        <v>May</v>
      </c>
      <c r="Q293" t="str">
        <f t="shared" si="26"/>
        <v>Q2</v>
      </c>
      <c r="R293" s="5" t="str">
        <f t="shared" si="27"/>
        <v>Large</v>
      </c>
      <c r="S293" s="5" t="str">
        <f t="shared" si="28"/>
        <v>Completed</v>
      </c>
      <c r="T293" s="5" t="str">
        <f t="shared" si="29"/>
        <v>Yes</v>
      </c>
    </row>
    <row r="294" spans="1:20" x14ac:dyDescent="0.35">
      <c r="A294" t="s">
        <v>306</v>
      </c>
      <c r="B294" s="2">
        <v>45672</v>
      </c>
      <c r="C294" t="s">
        <v>1506</v>
      </c>
      <c r="D294" t="s">
        <v>2403</v>
      </c>
      <c r="E294">
        <v>1</v>
      </c>
      <c r="F294">
        <v>65.95</v>
      </c>
      <c r="G294" t="s">
        <v>2594</v>
      </c>
      <c r="H294" t="s">
        <v>3067</v>
      </c>
      <c r="I294" t="s">
        <v>3073</v>
      </c>
      <c r="J294" t="s">
        <v>3367</v>
      </c>
      <c r="K294">
        <v>5</v>
      </c>
      <c r="L294" t="s">
        <v>4329</v>
      </c>
      <c r="M294" t="s">
        <v>4281</v>
      </c>
      <c r="N294">
        <v>65.95</v>
      </c>
      <c r="O294">
        <f t="shared" si="24"/>
        <v>65.95</v>
      </c>
      <c r="P294" t="str">
        <f t="shared" si="25"/>
        <v>Jan</v>
      </c>
      <c r="Q294" t="str">
        <f t="shared" si="26"/>
        <v>Q1</v>
      </c>
      <c r="R294" s="5" t="str">
        <f t="shared" si="27"/>
        <v>Small</v>
      </c>
      <c r="S294" s="5" t="str">
        <f t="shared" si="28"/>
        <v>Completed</v>
      </c>
      <c r="T294" s="5" t="str">
        <f t="shared" si="29"/>
        <v>Yes</v>
      </c>
    </row>
    <row r="295" spans="1:20" x14ac:dyDescent="0.35">
      <c r="A295" t="s">
        <v>307</v>
      </c>
      <c r="B295" s="2">
        <v>44973</v>
      </c>
      <c r="C295" t="s">
        <v>1507</v>
      </c>
      <c r="D295" t="s">
        <v>2405</v>
      </c>
      <c r="E295">
        <v>4</v>
      </c>
      <c r="F295">
        <v>463.04</v>
      </c>
      <c r="G295" t="s">
        <v>2658</v>
      </c>
      <c r="H295" t="s">
        <v>3068</v>
      </c>
      <c r="I295" t="s">
        <v>3072</v>
      </c>
      <c r="J295" t="s">
        <v>3368</v>
      </c>
      <c r="K295">
        <v>9</v>
      </c>
      <c r="L295" t="s">
        <v>4329</v>
      </c>
      <c r="M295" t="s">
        <v>4278</v>
      </c>
      <c r="N295">
        <v>1852.16</v>
      </c>
      <c r="O295">
        <f t="shared" si="24"/>
        <v>1852.16</v>
      </c>
      <c r="P295" t="str">
        <f t="shared" si="25"/>
        <v>Feb</v>
      </c>
      <c r="Q295" t="str">
        <f t="shared" si="26"/>
        <v>Q1</v>
      </c>
      <c r="R295" s="5" t="str">
        <f t="shared" si="27"/>
        <v>Large</v>
      </c>
      <c r="S295" s="5" t="str">
        <f t="shared" si="28"/>
        <v>Pending</v>
      </c>
      <c r="T295" s="5" t="str">
        <f t="shared" si="29"/>
        <v>Yes</v>
      </c>
    </row>
    <row r="296" spans="1:20"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c r="O296">
        <f t="shared" si="24"/>
        <v>595.41999999999996</v>
      </c>
      <c r="P296" t="str">
        <f t="shared" si="25"/>
        <v>Apr</v>
      </c>
      <c r="Q296" t="str">
        <f t="shared" si="26"/>
        <v>Q2</v>
      </c>
      <c r="R296" s="5" t="str">
        <f t="shared" si="27"/>
        <v>Large</v>
      </c>
      <c r="S296" s="5" t="str">
        <f t="shared" si="28"/>
        <v>Pending</v>
      </c>
      <c r="T296" s="5" t="str">
        <f t="shared" si="29"/>
        <v>Yes</v>
      </c>
    </row>
    <row r="297" spans="1:20"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c r="O297">
        <f t="shared" si="24"/>
        <v>537.4</v>
      </c>
      <c r="P297" t="str">
        <f t="shared" si="25"/>
        <v>Jan</v>
      </c>
      <c r="Q297" t="str">
        <f t="shared" si="26"/>
        <v>Q1</v>
      </c>
      <c r="R297" s="5" t="str">
        <f t="shared" si="27"/>
        <v>Large</v>
      </c>
      <c r="S297" s="5" t="str">
        <f t="shared" si="28"/>
        <v>Pending</v>
      </c>
      <c r="T297" s="5" t="str">
        <f t="shared" si="29"/>
        <v>Yes</v>
      </c>
    </row>
    <row r="298" spans="1:20"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c r="O298">
        <f t="shared" si="24"/>
        <v>3194</v>
      </c>
      <c r="P298" t="str">
        <f t="shared" si="25"/>
        <v>Jun</v>
      </c>
      <c r="Q298" t="str">
        <f t="shared" si="26"/>
        <v>Q2</v>
      </c>
      <c r="R298" s="5" t="str">
        <f t="shared" si="27"/>
        <v>Large</v>
      </c>
      <c r="S298" s="5" t="str">
        <f t="shared" si="28"/>
        <v>Pending</v>
      </c>
      <c r="T298" s="5" t="str">
        <f t="shared" si="29"/>
        <v>Yes</v>
      </c>
    </row>
    <row r="299" spans="1:20"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c r="O299">
        <f t="shared" si="24"/>
        <v>987.76</v>
      </c>
      <c r="P299" t="str">
        <f t="shared" si="25"/>
        <v>Feb</v>
      </c>
      <c r="Q299" t="str">
        <f t="shared" si="26"/>
        <v>Q1</v>
      </c>
      <c r="R299" s="5" t="str">
        <f t="shared" si="27"/>
        <v>Large</v>
      </c>
      <c r="S299" s="5" t="str">
        <f t="shared" si="28"/>
        <v>Pending</v>
      </c>
      <c r="T299" s="5" t="str">
        <f t="shared" si="29"/>
        <v>Yes</v>
      </c>
    </row>
    <row r="300" spans="1:20" x14ac:dyDescent="0.35">
      <c r="A300" t="s">
        <v>312</v>
      </c>
      <c r="B300" s="2">
        <v>45279</v>
      </c>
      <c r="C300" t="s">
        <v>1512</v>
      </c>
      <c r="D300" t="s">
        <v>2407</v>
      </c>
      <c r="E300">
        <v>4</v>
      </c>
      <c r="F300">
        <v>301.17</v>
      </c>
      <c r="G300" t="s">
        <v>2450</v>
      </c>
      <c r="H300" t="s">
        <v>3066</v>
      </c>
      <c r="I300" t="s">
        <v>3071</v>
      </c>
      <c r="J300" t="s">
        <v>3373</v>
      </c>
      <c r="K300">
        <v>6</v>
      </c>
      <c r="L300" t="s">
        <v>4329</v>
      </c>
      <c r="M300" t="s">
        <v>4280</v>
      </c>
      <c r="N300">
        <v>1204.68</v>
      </c>
      <c r="O300">
        <f t="shared" si="24"/>
        <v>1204.68</v>
      </c>
      <c r="P300" t="str">
        <f t="shared" si="25"/>
        <v>Dec</v>
      </c>
      <c r="Q300" t="str">
        <f t="shared" si="26"/>
        <v>Q4</v>
      </c>
      <c r="R300" s="5" t="str">
        <f t="shared" si="27"/>
        <v>Large</v>
      </c>
      <c r="S300" s="5" t="str">
        <f t="shared" si="28"/>
        <v>Pending</v>
      </c>
      <c r="T300" s="5" t="str">
        <f t="shared" si="29"/>
        <v>Yes</v>
      </c>
    </row>
    <row r="301" spans="1:20"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c r="O301">
        <f t="shared" si="24"/>
        <v>278.66000000000003</v>
      </c>
      <c r="P301" t="str">
        <f t="shared" si="25"/>
        <v>Jan</v>
      </c>
      <c r="Q301" t="str">
        <f t="shared" si="26"/>
        <v>Q1</v>
      </c>
      <c r="R301" s="5" t="str">
        <f t="shared" si="27"/>
        <v>Medium</v>
      </c>
      <c r="S301" s="5" t="str">
        <f t="shared" si="28"/>
        <v>Pending</v>
      </c>
      <c r="T301" s="5" t="str">
        <f t="shared" si="29"/>
        <v>Yes</v>
      </c>
    </row>
    <row r="302" spans="1:20"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c r="O302">
        <f t="shared" si="24"/>
        <v>287.45999999999998</v>
      </c>
      <c r="P302" t="str">
        <f t="shared" si="25"/>
        <v>Sep</v>
      </c>
      <c r="Q302" t="str">
        <f t="shared" si="26"/>
        <v>Q3</v>
      </c>
      <c r="R302" s="5" t="str">
        <f t="shared" si="27"/>
        <v>Medium</v>
      </c>
      <c r="S302" s="5" t="str">
        <f t="shared" si="28"/>
        <v>Pending</v>
      </c>
      <c r="T302" s="5" t="str">
        <f t="shared" si="29"/>
        <v>Yes</v>
      </c>
    </row>
    <row r="303" spans="1:20"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c r="O303">
        <f t="shared" si="24"/>
        <v>583.99</v>
      </c>
      <c r="P303" t="str">
        <f t="shared" si="25"/>
        <v>May</v>
      </c>
      <c r="Q303" t="str">
        <f t="shared" si="26"/>
        <v>Q2</v>
      </c>
      <c r="R303" s="5" t="str">
        <f t="shared" si="27"/>
        <v>Large</v>
      </c>
      <c r="S303" s="5" t="str">
        <f t="shared" si="28"/>
        <v>Pending</v>
      </c>
      <c r="T303" s="5" t="str">
        <f t="shared" si="29"/>
        <v>Yes</v>
      </c>
    </row>
    <row r="304" spans="1:20"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c r="O304">
        <f t="shared" si="24"/>
        <v>1406.22</v>
      </c>
      <c r="P304" t="str">
        <f t="shared" si="25"/>
        <v>May</v>
      </c>
      <c r="Q304" t="str">
        <f t="shared" si="26"/>
        <v>Q2</v>
      </c>
      <c r="R304" s="5" t="str">
        <f t="shared" si="27"/>
        <v>Large</v>
      </c>
      <c r="S304" s="5" t="str">
        <f t="shared" si="28"/>
        <v>Pending</v>
      </c>
      <c r="T304" s="5" t="str">
        <f t="shared" si="29"/>
        <v>Yes</v>
      </c>
    </row>
    <row r="305" spans="1:20" x14ac:dyDescent="0.35">
      <c r="A305" t="s">
        <v>317</v>
      </c>
      <c r="B305" s="2">
        <v>45633</v>
      </c>
      <c r="C305" t="s">
        <v>1517</v>
      </c>
      <c r="D305" t="s">
        <v>2405</v>
      </c>
      <c r="E305">
        <v>1</v>
      </c>
      <c r="F305">
        <v>30.54</v>
      </c>
      <c r="G305" t="s">
        <v>2666</v>
      </c>
      <c r="H305" t="s">
        <v>3065</v>
      </c>
      <c r="I305" t="s">
        <v>3072</v>
      </c>
      <c r="J305" t="s">
        <v>3378</v>
      </c>
      <c r="K305">
        <v>1</v>
      </c>
      <c r="L305" t="s">
        <v>4329</v>
      </c>
      <c r="M305" t="s">
        <v>4282</v>
      </c>
      <c r="N305">
        <v>30.54</v>
      </c>
      <c r="O305">
        <f t="shared" si="24"/>
        <v>30.54</v>
      </c>
      <c r="P305" t="str">
        <f t="shared" si="25"/>
        <v>Dec</v>
      </c>
      <c r="Q305" t="str">
        <f t="shared" si="26"/>
        <v>Q4</v>
      </c>
      <c r="R305" s="5" t="str">
        <f t="shared" si="27"/>
        <v>Small</v>
      </c>
      <c r="S305" s="5" t="str">
        <f t="shared" si="28"/>
        <v>Pending</v>
      </c>
      <c r="T305" s="5" t="str">
        <f t="shared" si="29"/>
        <v>Yes</v>
      </c>
    </row>
    <row r="306" spans="1:20"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c r="O306">
        <f t="shared" si="24"/>
        <v>2043.65</v>
      </c>
      <c r="P306" t="str">
        <f t="shared" si="25"/>
        <v>Oct</v>
      </c>
      <c r="Q306" t="str">
        <f t="shared" si="26"/>
        <v>Q4</v>
      </c>
      <c r="R306" s="5" t="str">
        <f t="shared" si="27"/>
        <v>Large</v>
      </c>
      <c r="S306" s="5" t="str">
        <f t="shared" si="28"/>
        <v>Completed</v>
      </c>
      <c r="T306" s="5" t="str">
        <f t="shared" si="29"/>
        <v>Yes</v>
      </c>
    </row>
    <row r="307" spans="1:20"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c r="O307">
        <f t="shared" si="24"/>
        <v>507.56</v>
      </c>
      <c r="P307" t="str">
        <f t="shared" si="25"/>
        <v>Nov</v>
      </c>
      <c r="Q307" t="str">
        <f t="shared" si="26"/>
        <v>Q4</v>
      </c>
      <c r="R307" s="5" t="str">
        <f t="shared" si="27"/>
        <v>Large</v>
      </c>
      <c r="S307" s="5" t="str">
        <f t="shared" si="28"/>
        <v>Pending</v>
      </c>
      <c r="T307" s="5" t="str">
        <f t="shared" si="29"/>
        <v>Yes</v>
      </c>
    </row>
    <row r="308" spans="1:20"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c r="O308">
        <f t="shared" si="24"/>
        <v>114.14</v>
      </c>
      <c r="P308" t="str">
        <f t="shared" si="25"/>
        <v>Jun</v>
      </c>
      <c r="Q308" t="str">
        <f t="shared" si="26"/>
        <v>Q2</v>
      </c>
      <c r="R308" s="5" t="str">
        <f t="shared" si="27"/>
        <v>Medium</v>
      </c>
      <c r="S308" s="5" t="str">
        <f t="shared" si="28"/>
        <v>Pending</v>
      </c>
      <c r="T308" s="5" t="str">
        <f t="shared" si="29"/>
        <v>Yes</v>
      </c>
    </row>
    <row r="309" spans="1:20" x14ac:dyDescent="0.35">
      <c r="A309" t="s">
        <v>321</v>
      </c>
      <c r="B309" s="2">
        <v>45108</v>
      </c>
      <c r="C309" t="s">
        <v>1521</v>
      </c>
      <c r="D309" t="s">
        <v>2408</v>
      </c>
      <c r="E309">
        <v>3</v>
      </c>
      <c r="F309">
        <v>557.41</v>
      </c>
      <c r="G309" t="s">
        <v>2670</v>
      </c>
      <c r="H309" t="s">
        <v>3066</v>
      </c>
      <c r="I309" t="s">
        <v>3073</v>
      </c>
      <c r="J309" t="s">
        <v>3382</v>
      </c>
      <c r="K309">
        <v>4</v>
      </c>
      <c r="L309" t="s">
        <v>4329</v>
      </c>
      <c r="M309" t="s">
        <v>4280</v>
      </c>
      <c r="N309">
        <v>1672.23</v>
      </c>
      <c r="O309">
        <f t="shared" si="24"/>
        <v>1672.23</v>
      </c>
      <c r="P309" t="str">
        <f t="shared" si="25"/>
        <v>Jul</v>
      </c>
      <c r="Q309" t="str">
        <f t="shared" si="26"/>
        <v>Q3</v>
      </c>
      <c r="R309" s="5" t="str">
        <f t="shared" si="27"/>
        <v>Large</v>
      </c>
      <c r="S309" s="5" t="str">
        <f t="shared" si="28"/>
        <v>Completed</v>
      </c>
      <c r="T309" s="5" t="str">
        <f t="shared" si="29"/>
        <v>Yes</v>
      </c>
    </row>
    <row r="310" spans="1:20"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c r="O310">
        <f t="shared" si="24"/>
        <v>1346.6999999999998</v>
      </c>
      <c r="P310" t="str">
        <f t="shared" si="25"/>
        <v>Dec</v>
      </c>
      <c r="Q310" t="str">
        <f t="shared" si="26"/>
        <v>Q4</v>
      </c>
      <c r="R310" s="5" t="str">
        <f t="shared" si="27"/>
        <v>Large</v>
      </c>
      <c r="S310" s="5" t="str">
        <f t="shared" si="28"/>
        <v>Pending</v>
      </c>
      <c r="T310" s="5" t="str">
        <f t="shared" si="29"/>
        <v>Yes</v>
      </c>
    </row>
    <row r="311" spans="1:20"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c r="O311">
        <f t="shared" si="24"/>
        <v>2199.04</v>
      </c>
      <c r="P311" t="str">
        <f t="shared" si="25"/>
        <v>Oct</v>
      </c>
      <c r="Q311" t="str">
        <f t="shared" si="26"/>
        <v>Q4</v>
      </c>
      <c r="R311" s="5" t="str">
        <f t="shared" si="27"/>
        <v>Large</v>
      </c>
      <c r="S311" s="5" t="str">
        <f t="shared" si="28"/>
        <v>Completed</v>
      </c>
      <c r="T311" s="5" t="str">
        <f t="shared" si="29"/>
        <v>Yes</v>
      </c>
    </row>
    <row r="312" spans="1:20" x14ac:dyDescent="0.35">
      <c r="A312" t="s">
        <v>324</v>
      </c>
      <c r="B312" s="2">
        <v>45346</v>
      </c>
      <c r="C312" t="s">
        <v>1524</v>
      </c>
      <c r="D312" t="s">
        <v>2407</v>
      </c>
      <c r="E312">
        <v>3</v>
      </c>
      <c r="F312">
        <v>132.47999999999999</v>
      </c>
      <c r="G312" t="s">
        <v>2672</v>
      </c>
      <c r="H312" t="s">
        <v>3066</v>
      </c>
      <c r="I312" t="s">
        <v>3070</v>
      </c>
      <c r="J312" t="s">
        <v>3385</v>
      </c>
      <c r="K312">
        <v>4</v>
      </c>
      <c r="L312" t="s">
        <v>4329</v>
      </c>
      <c r="M312" t="s">
        <v>4279</v>
      </c>
      <c r="N312">
        <v>397.43999999999988</v>
      </c>
      <c r="O312">
        <f t="shared" si="24"/>
        <v>397.43999999999994</v>
      </c>
      <c r="P312" t="str">
        <f t="shared" si="25"/>
        <v>Feb</v>
      </c>
      <c r="Q312" t="str">
        <f t="shared" si="26"/>
        <v>Q1</v>
      </c>
      <c r="R312" s="5" t="str">
        <f t="shared" si="27"/>
        <v>Medium</v>
      </c>
      <c r="S312" s="5" t="str">
        <f t="shared" si="28"/>
        <v>Pending</v>
      </c>
      <c r="T312" s="5" t="str">
        <f t="shared" si="29"/>
        <v>Yes</v>
      </c>
    </row>
    <row r="313" spans="1:20" x14ac:dyDescent="0.35">
      <c r="A313" t="s">
        <v>325</v>
      </c>
      <c r="B313" s="2">
        <v>45794</v>
      </c>
      <c r="C313" t="s">
        <v>1525</v>
      </c>
      <c r="D313" t="s">
        <v>2409</v>
      </c>
      <c r="E313">
        <v>5</v>
      </c>
      <c r="F313">
        <v>489.37</v>
      </c>
      <c r="G313" t="s">
        <v>2673</v>
      </c>
      <c r="H313" t="s">
        <v>3066</v>
      </c>
      <c r="I313" t="s">
        <v>3072</v>
      </c>
      <c r="J313" t="s">
        <v>3386</v>
      </c>
      <c r="K313">
        <v>8</v>
      </c>
      <c r="L313" t="s">
        <v>4329</v>
      </c>
      <c r="M313" t="s">
        <v>4278</v>
      </c>
      <c r="N313">
        <v>2446.85</v>
      </c>
      <c r="O313">
        <f t="shared" si="24"/>
        <v>2446.85</v>
      </c>
      <c r="P313" t="str">
        <f t="shared" si="25"/>
        <v>May</v>
      </c>
      <c r="Q313" t="str">
        <f t="shared" si="26"/>
        <v>Q2</v>
      </c>
      <c r="R313" s="5" t="str">
        <f t="shared" si="27"/>
        <v>Large</v>
      </c>
      <c r="S313" s="5" t="str">
        <f t="shared" si="28"/>
        <v>Pending</v>
      </c>
      <c r="T313" s="5" t="str">
        <f t="shared" si="29"/>
        <v>Yes</v>
      </c>
    </row>
    <row r="314" spans="1:20"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c r="O314">
        <f t="shared" si="24"/>
        <v>331.55</v>
      </c>
      <c r="P314" t="str">
        <f t="shared" si="25"/>
        <v>May</v>
      </c>
      <c r="Q314" t="str">
        <f t="shared" si="26"/>
        <v>Q2</v>
      </c>
      <c r="R314" s="5" t="str">
        <f t="shared" si="27"/>
        <v>Medium</v>
      </c>
      <c r="S314" s="5" t="str">
        <f t="shared" si="28"/>
        <v>Pending</v>
      </c>
      <c r="T314" s="5" t="str">
        <f t="shared" si="29"/>
        <v>Yes</v>
      </c>
    </row>
    <row r="315" spans="1:20"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c r="O315">
        <f t="shared" si="24"/>
        <v>868.6</v>
      </c>
      <c r="P315" t="str">
        <f t="shared" si="25"/>
        <v>Jul</v>
      </c>
      <c r="Q315" t="str">
        <f t="shared" si="26"/>
        <v>Q3</v>
      </c>
      <c r="R315" s="5" t="str">
        <f t="shared" si="27"/>
        <v>Large</v>
      </c>
      <c r="S315" s="5" t="str">
        <f t="shared" si="28"/>
        <v>Completed</v>
      </c>
      <c r="T315" s="5" t="str">
        <f t="shared" si="29"/>
        <v>Yes</v>
      </c>
    </row>
    <row r="316" spans="1:20"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c r="O316">
        <f t="shared" si="24"/>
        <v>612.36</v>
      </c>
      <c r="P316" t="str">
        <f t="shared" si="25"/>
        <v>Oct</v>
      </c>
      <c r="Q316" t="str">
        <f t="shared" si="26"/>
        <v>Q4</v>
      </c>
      <c r="R316" s="5" t="str">
        <f t="shared" si="27"/>
        <v>Large</v>
      </c>
      <c r="S316" s="5" t="str">
        <f t="shared" si="28"/>
        <v>Completed</v>
      </c>
      <c r="T316" s="5" t="str">
        <f t="shared" si="29"/>
        <v>Yes</v>
      </c>
    </row>
    <row r="317" spans="1:20"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c r="O317">
        <f t="shared" si="24"/>
        <v>458.35</v>
      </c>
      <c r="P317" t="str">
        <f t="shared" si="25"/>
        <v>May</v>
      </c>
      <c r="Q317" t="str">
        <f t="shared" si="26"/>
        <v>Q2</v>
      </c>
      <c r="R317" s="5" t="str">
        <f t="shared" si="27"/>
        <v>Medium</v>
      </c>
      <c r="S317" s="5" t="str">
        <f t="shared" si="28"/>
        <v>Pending</v>
      </c>
      <c r="T317" s="5" t="str">
        <f t="shared" si="29"/>
        <v>Yes</v>
      </c>
    </row>
    <row r="318" spans="1:20"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c r="O318">
        <f t="shared" si="24"/>
        <v>1101.1199999999999</v>
      </c>
      <c r="P318" t="str">
        <f t="shared" si="25"/>
        <v>Oct</v>
      </c>
      <c r="Q318" t="str">
        <f t="shared" si="26"/>
        <v>Q4</v>
      </c>
      <c r="R318" s="5" t="str">
        <f t="shared" si="27"/>
        <v>Large</v>
      </c>
      <c r="S318" s="5" t="str">
        <f t="shared" si="28"/>
        <v>Pending</v>
      </c>
      <c r="T318" s="5" t="str">
        <f t="shared" si="29"/>
        <v>Yes</v>
      </c>
    </row>
    <row r="319" spans="1:20" x14ac:dyDescent="0.35">
      <c r="A319" t="s">
        <v>331</v>
      </c>
      <c r="B319" s="2">
        <v>45026</v>
      </c>
      <c r="C319" t="s">
        <v>1531</v>
      </c>
      <c r="D319" t="s">
        <v>2403</v>
      </c>
      <c r="E319">
        <v>2</v>
      </c>
      <c r="F319">
        <v>139.94999999999999</v>
      </c>
      <c r="G319" t="s">
        <v>2678</v>
      </c>
      <c r="H319" t="s">
        <v>3066</v>
      </c>
      <c r="I319" t="s">
        <v>3072</v>
      </c>
      <c r="J319" t="s">
        <v>3392</v>
      </c>
      <c r="K319">
        <v>5</v>
      </c>
      <c r="L319" t="s">
        <v>4329</v>
      </c>
      <c r="M319" t="s">
        <v>4278</v>
      </c>
      <c r="N319">
        <v>279.89999999999998</v>
      </c>
      <c r="O319">
        <f t="shared" si="24"/>
        <v>279.89999999999998</v>
      </c>
      <c r="P319" t="str">
        <f t="shared" si="25"/>
        <v>Apr</v>
      </c>
      <c r="Q319" t="str">
        <f t="shared" si="26"/>
        <v>Q2</v>
      </c>
      <c r="R319" s="5" t="str">
        <f t="shared" si="27"/>
        <v>Medium</v>
      </c>
      <c r="S319" s="5" t="str">
        <f t="shared" si="28"/>
        <v>Pending</v>
      </c>
      <c r="T319" s="5" t="str">
        <f t="shared" si="29"/>
        <v>Yes</v>
      </c>
    </row>
    <row r="320" spans="1:20"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c r="O320">
        <f t="shared" si="24"/>
        <v>446.15999999999997</v>
      </c>
      <c r="P320" t="str">
        <f t="shared" si="25"/>
        <v>Jul</v>
      </c>
      <c r="Q320" t="str">
        <f t="shared" si="26"/>
        <v>Q3</v>
      </c>
      <c r="R320" s="5" t="str">
        <f t="shared" si="27"/>
        <v>Medium</v>
      </c>
      <c r="S320" s="5" t="str">
        <f t="shared" si="28"/>
        <v>Pending</v>
      </c>
      <c r="T320" s="5" t="str">
        <f t="shared" si="29"/>
        <v>Yes</v>
      </c>
    </row>
    <row r="321" spans="1:20" x14ac:dyDescent="0.35">
      <c r="A321" t="s">
        <v>333</v>
      </c>
      <c r="B321" s="2">
        <v>45262</v>
      </c>
      <c r="C321" t="s">
        <v>1533</v>
      </c>
      <c r="D321" t="s">
        <v>2408</v>
      </c>
      <c r="E321">
        <v>2</v>
      </c>
      <c r="F321">
        <v>563.05999999999995</v>
      </c>
      <c r="G321" t="s">
        <v>2679</v>
      </c>
      <c r="H321" t="s">
        <v>3069</v>
      </c>
      <c r="I321" t="s">
        <v>3072</v>
      </c>
      <c r="J321" t="s">
        <v>3394</v>
      </c>
      <c r="K321">
        <v>6</v>
      </c>
      <c r="L321" t="s">
        <v>4329</v>
      </c>
      <c r="M321" t="s">
        <v>4278</v>
      </c>
      <c r="N321">
        <v>1126.1199999999999</v>
      </c>
      <c r="O321">
        <f t="shared" si="24"/>
        <v>1126.1199999999999</v>
      </c>
      <c r="P321" t="str">
        <f t="shared" si="25"/>
        <v>Dec</v>
      </c>
      <c r="Q321" t="str">
        <f t="shared" si="26"/>
        <v>Q4</v>
      </c>
      <c r="R321" s="5" t="str">
        <f t="shared" si="27"/>
        <v>Large</v>
      </c>
      <c r="S321" s="5" t="str">
        <f t="shared" si="28"/>
        <v>Pending</v>
      </c>
      <c r="T321" s="5" t="str">
        <f t="shared" si="29"/>
        <v>Yes</v>
      </c>
    </row>
    <row r="322" spans="1:20"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c r="O322">
        <f t="shared" ref="O322:O385" si="30">E322*F322</f>
        <v>625.51</v>
      </c>
      <c r="P322" t="str">
        <f t="shared" ref="P322:P385" si="31">TEXT(B322, "mmm")</f>
        <v>Dec</v>
      </c>
      <c r="Q322" t="str">
        <f t="shared" ref="Q322:Q385" si="32">"Q"&amp;ROUNDUP(MONTH(B322)/3,0)</f>
        <v>Q4</v>
      </c>
      <c r="R322" s="5" t="str">
        <f t="shared" ref="R322:R385" si="33">IF(N322&lt;100,"Small", IF(N322&lt;500, "Medium", "Large"))</f>
        <v>Large</v>
      </c>
      <c r="S322" s="5" t="str">
        <f t="shared" ref="S322:S385" si="34">IF(I322="Delivered","Completed","Pending")</f>
        <v>Pending</v>
      </c>
      <c r="T322" s="5" t="str">
        <f t="shared" ref="T322:T385" si="35">IF(L322="","No", "Yes")</f>
        <v>Yes</v>
      </c>
    </row>
    <row r="323" spans="1:20"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c r="O323">
        <f t="shared" si="30"/>
        <v>609.16</v>
      </c>
      <c r="P323" t="str">
        <f t="shared" si="31"/>
        <v>Aug</v>
      </c>
      <c r="Q323" t="str">
        <f t="shared" si="32"/>
        <v>Q3</v>
      </c>
      <c r="R323" s="5" t="str">
        <f t="shared" si="33"/>
        <v>Large</v>
      </c>
      <c r="S323" s="5" t="str">
        <f t="shared" si="34"/>
        <v>Pending</v>
      </c>
      <c r="T323" s="5" t="str">
        <f t="shared" si="35"/>
        <v>Yes</v>
      </c>
    </row>
    <row r="324" spans="1:20"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c r="O324">
        <f t="shared" si="30"/>
        <v>1159.0999999999999</v>
      </c>
      <c r="P324" t="str">
        <f t="shared" si="31"/>
        <v>Jun</v>
      </c>
      <c r="Q324" t="str">
        <f t="shared" si="32"/>
        <v>Q2</v>
      </c>
      <c r="R324" s="5" t="str">
        <f t="shared" si="33"/>
        <v>Large</v>
      </c>
      <c r="S324" s="5" t="str">
        <f t="shared" si="34"/>
        <v>Completed</v>
      </c>
      <c r="T324" s="5" t="str">
        <f t="shared" si="35"/>
        <v>Yes</v>
      </c>
    </row>
    <row r="325" spans="1:20"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c r="O325">
        <f t="shared" si="30"/>
        <v>150.16999999999999</v>
      </c>
      <c r="P325" t="str">
        <f t="shared" si="31"/>
        <v>Jan</v>
      </c>
      <c r="Q325" t="str">
        <f t="shared" si="32"/>
        <v>Q1</v>
      </c>
      <c r="R325" s="5" t="str">
        <f t="shared" si="33"/>
        <v>Medium</v>
      </c>
      <c r="S325" s="5" t="str">
        <f t="shared" si="34"/>
        <v>Pending</v>
      </c>
      <c r="T325" s="5" t="str">
        <f t="shared" si="35"/>
        <v>Yes</v>
      </c>
    </row>
    <row r="326" spans="1:20" x14ac:dyDescent="0.35">
      <c r="A326" t="s">
        <v>338</v>
      </c>
      <c r="B326" s="2">
        <v>45456</v>
      </c>
      <c r="C326" t="s">
        <v>1538</v>
      </c>
      <c r="D326" t="s">
        <v>2405</v>
      </c>
      <c r="E326">
        <v>3</v>
      </c>
      <c r="F326">
        <v>70.930000000000007</v>
      </c>
      <c r="G326" t="s">
        <v>2682</v>
      </c>
      <c r="H326" t="s">
        <v>3065</v>
      </c>
      <c r="I326" t="s">
        <v>3072</v>
      </c>
      <c r="J326" t="s">
        <v>3399</v>
      </c>
      <c r="K326">
        <v>5</v>
      </c>
      <c r="L326" t="s">
        <v>4329</v>
      </c>
      <c r="M326" t="s">
        <v>4279</v>
      </c>
      <c r="N326">
        <v>212.79</v>
      </c>
      <c r="O326">
        <f t="shared" si="30"/>
        <v>212.79000000000002</v>
      </c>
      <c r="P326" t="str">
        <f t="shared" si="31"/>
        <v>Jun</v>
      </c>
      <c r="Q326" t="str">
        <f t="shared" si="32"/>
        <v>Q2</v>
      </c>
      <c r="R326" s="5" t="str">
        <f t="shared" si="33"/>
        <v>Medium</v>
      </c>
      <c r="S326" s="5" t="str">
        <f t="shared" si="34"/>
        <v>Pending</v>
      </c>
      <c r="T326" s="5" t="str">
        <f t="shared" si="35"/>
        <v>Yes</v>
      </c>
    </row>
    <row r="327" spans="1:20" x14ac:dyDescent="0.35">
      <c r="A327" t="s">
        <v>339</v>
      </c>
      <c r="B327" s="2">
        <v>45106</v>
      </c>
      <c r="C327" t="s">
        <v>1539</v>
      </c>
      <c r="D327" t="s">
        <v>2409</v>
      </c>
      <c r="E327">
        <v>3</v>
      </c>
      <c r="F327">
        <v>361.39</v>
      </c>
      <c r="G327" t="s">
        <v>2683</v>
      </c>
      <c r="H327" t="s">
        <v>3067</v>
      </c>
      <c r="I327" t="s">
        <v>3070</v>
      </c>
      <c r="J327" t="s">
        <v>3400</v>
      </c>
      <c r="K327">
        <v>8</v>
      </c>
      <c r="L327" t="s">
        <v>4329</v>
      </c>
      <c r="M327" t="s">
        <v>4279</v>
      </c>
      <c r="N327">
        <v>1084.17</v>
      </c>
      <c r="O327">
        <f t="shared" si="30"/>
        <v>1084.17</v>
      </c>
      <c r="P327" t="str">
        <f t="shared" si="31"/>
        <v>Jun</v>
      </c>
      <c r="Q327" t="str">
        <f t="shared" si="32"/>
        <v>Q2</v>
      </c>
      <c r="R327" s="5" t="str">
        <f t="shared" si="33"/>
        <v>Large</v>
      </c>
      <c r="S327" s="5" t="str">
        <f t="shared" si="34"/>
        <v>Pending</v>
      </c>
      <c r="T327" s="5" t="str">
        <f t="shared" si="35"/>
        <v>Yes</v>
      </c>
    </row>
    <row r="328" spans="1:20"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c r="O328">
        <f t="shared" si="30"/>
        <v>3352.4</v>
      </c>
      <c r="P328" t="str">
        <f t="shared" si="31"/>
        <v>Jul</v>
      </c>
      <c r="Q328" t="str">
        <f t="shared" si="32"/>
        <v>Q3</v>
      </c>
      <c r="R328" s="5" t="str">
        <f t="shared" si="33"/>
        <v>Large</v>
      </c>
      <c r="S328" s="5" t="str">
        <f t="shared" si="34"/>
        <v>Pending</v>
      </c>
      <c r="T328" s="5" t="str">
        <f t="shared" si="35"/>
        <v>Yes</v>
      </c>
    </row>
    <row r="329" spans="1:20"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c r="O329">
        <f t="shared" si="30"/>
        <v>359.99</v>
      </c>
      <c r="P329" t="str">
        <f t="shared" si="31"/>
        <v>Jul</v>
      </c>
      <c r="Q329" t="str">
        <f t="shared" si="32"/>
        <v>Q3</v>
      </c>
      <c r="R329" s="5" t="str">
        <f t="shared" si="33"/>
        <v>Medium</v>
      </c>
      <c r="S329" s="5" t="str">
        <f t="shared" si="34"/>
        <v>Pending</v>
      </c>
      <c r="T329" s="5" t="str">
        <f t="shared" si="35"/>
        <v>Yes</v>
      </c>
    </row>
    <row r="330" spans="1:20"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c r="O330">
        <f t="shared" si="30"/>
        <v>3370.2</v>
      </c>
      <c r="P330" t="str">
        <f t="shared" si="31"/>
        <v>Feb</v>
      </c>
      <c r="Q330" t="str">
        <f t="shared" si="32"/>
        <v>Q1</v>
      </c>
      <c r="R330" s="5" t="str">
        <f t="shared" si="33"/>
        <v>Large</v>
      </c>
      <c r="S330" s="5" t="str">
        <f t="shared" si="34"/>
        <v>Pending</v>
      </c>
      <c r="T330" s="5" t="str">
        <f t="shared" si="35"/>
        <v>Yes</v>
      </c>
    </row>
    <row r="331" spans="1:20" x14ac:dyDescent="0.35">
      <c r="A331" t="s">
        <v>343</v>
      </c>
      <c r="B331" s="2">
        <v>45651</v>
      </c>
      <c r="C331" t="s">
        <v>1543</v>
      </c>
      <c r="D331" t="s">
        <v>2406</v>
      </c>
      <c r="E331">
        <v>4</v>
      </c>
      <c r="F331">
        <v>283.16000000000003</v>
      </c>
      <c r="G331" t="s">
        <v>2622</v>
      </c>
      <c r="H331" t="s">
        <v>3067</v>
      </c>
      <c r="I331" t="s">
        <v>3070</v>
      </c>
      <c r="J331" t="s">
        <v>3404</v>
      </c>
      <c r="K331">
        <v>6</v>
      </c>
      <c r="L331" t="s">
        <v>4329</v>
      </c>
      <c r="M331" t="s">
        <v>4282</v>
      </c>
      <c r="N331">
        <v>1132.6400000000001</v>
      </c>
      <c r="O331">
        <f t="shared" si="30"/>
        <v>1132.6400000000001</v>
      </c>
      <c r="P331" t="str">
        <f t="shared" si="31"/>
        <v>Dec</v>
      </c>
      <c r="Q331" t="str">
        <f t="shared" si="32"/>
        <v>Q4</v>
      </c>
      <c r="R331" s="5" t="str">
        <f t="shared" si="33"/>
        <v>Large</v>
      </c>
      <c r="S331" s="5" t="str">
        <f t="shared" si="34"/>
        <v>Pending</v>
      </c>
      <c r="T331" s="5" t="str">
        <f t="shared" si="35"/>
        <v>Yes</v>
      </c>
    </row>
    <row r="332" spans="1:20"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c r="O332">
        <f t="shared" si="30"/>
        <v>1302.6499999999999</v>
      </c>
      <c r="P332" t="str">
        <f t="shared" si="31"/>
        <v>Jun</v>
      </c>
      <c r="Q332" t="str">
        <f t="shared" si="32"/>
        <v>Q2</v>
      </c>
      <c r="R332" s="5" t="str">
        <f t="shared" si="33"/>
        <v>Large</v>
      </c>
      <c r="S332" s="5" t="str">
        <f t="shared" si="34"/>
        <v>Pending</v>
      </c>
      <c r="T332" s="5" t="str">
        <f t="shared" si="35"/>
        <v>Yes</v>
      </c>
    </row>
    <row r="333" spans="1:20"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c r="O333">
        <f t="shared" si="30"/>
        <v>1266.3899999999999</v>
      </c>
      <c r="P333" t="str">
        <f t="shared" si="31"/>
        <v>Apr</v>
      </c>
      <c r="Q333" t="str">
        <f t="shared" si="32"/>
        <v>Q2</v>
      </c>
      <c r="R333" s="5" t="str">
        <f t="shared" si="33"/>
        <v>Large</v>
      </c>
      <c r="S333" s="5" t="str">
        <f t="shared" si="34"/>
        <v>Completed</v>
      </c>
      <c r="T333" s="5" t="str">
        <f t="shared" si="35"/>
        <v>Yes</v>
      </c>
    </row>
    <row r="334" spans="1:20"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c r="O334">
        <f t="shared" si="30"/>
        <v>625.1</v>
      </c>
      <c r="P334" t="str">
        <f t="shared" si="31"/>
        <v>Jul</v>
      </c>
      <c r="Q334" t="str">
        <f t="shared" si="32"/>
        <v>Q3</v>
      </c>
      <c r="R334" s="5" t="str">
        <f t="shared" si="33"/>
        <v>Large</v>
      </c>
      <c r="S334" s="5" t="str">
        <f t="shared" si="34"/>
        <v>Pending</v>
      </c>
      <c r="T334" s="5" t="str">
        <f t="shared" si="35"/>
        <v>Yes</v>
      </c>
    </row>
    <row r="335" spans="1:20"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c r="O335">
        <f t="shared" si="30"/>
        <v>198.51</v>
      </c>
      <c r="P335" t="str">
        <f t="shared" si="31"/>
        <v>Apr</v>
      </c>
      <c r="Q335" t="str">
        <f t="shared" si="32"/>
        <v>Q2</v>
      </c>
      <c r="R335" s="5" t="str">
        <f t="shared" si="33"/>
        <v>Medium</v>
      </c>
      <c r="S335" s="5" t="str">
        <f t="shared" si="34"/>
        <v>Pending</v>
      </c>
      <c r="T335" s="5" t="str">
        <f t="shared" si="35"/>
        <v>Yes</v>
      </c>
    </row>
    <row r="336" spans="1:20"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c r="O336">
        <f t="shared" si="30"/>
        <v>899</v>
      </c>
      <c r="P336" t="str">
        <f t="shared" si="31"/>
        <v>Mar</v>
      </c>
      <c r="Q336" t="str">
        <f t="shared" si="32"/>
        <v>Q1</v>
      </c>
      <c r="R336" s="5" t="str">
        <f t="shared" si="33"/>
        <v>Large</v>
      </c>
      <c r="S336" s="5" t="str">
        <f t="shared" si="34"/>
        <v>Completed</v>
      </c>
      <c r="T336" s="5" t="str">
        <f t="shared" si="35"/>
        <v>Yes</v>
      </c>
    </row>
    <row r="337" spans="1:20" x14ac:dyDescent="0.35">
      <c r="A337" t="s">
        <v>349</v>
      </c>
      <c r="B337" s="2">
        <v>45719</v>
      </c>
      <c r="C337" t="s">
        <v>1549</v>
      </c>
      <c r="D337" t="s">
        <v>2405</v>
      </c>
      <c r="E337">
        <v>3</v>
      </c>
      <c r="F337">
        <v>205.86</v>
      </c>
      <c r="G337" t="s">
        <v>2674</v>
      </c>
      <c r="H337" t="s">
        <v>3068</v>
      </c>
      <c r="I337" t="s">
        <v>3070</v>
      </c>
      <c r="J337" t="s">
        <v>3410</v>
      </c>
      <c r="K337">
        <v>4</v>
      </c>
      <c r="L337" t="s">
        <v>4329</v>
      </c>
      <c r="M337" t="s">
        <v>4280</v>
      </c>
      <c r="N337">
        <v>617.58000000000004</v>
      </c>
      <c r="O337">
        <f t="shared" si="30"/>
        <v>617.58000000000004</v>
      </c>
      <c r="P337" t="str">
        <f t="shared" si="31"/>
        <v>Mar</v>
      </c>
      <c r="Q337" t="str">
        <f t="shared" si="32"/>
        <v>Q1</v>
      </c>
      <c r="R337" s="5" t="str">
        <f t="shared" si="33"/>
        <v>Large</v>
      </c>
      <c r="S337" s="5" t="str">
        <f t="shared" si="34"/>
        <v>Pending</v>
      </c>
      <c r="T337" s="5" t="str">
        <f t="shared" si="35"/>
        <v>Yes</v>
      </c>
    </row>
    <row r="338" spans="1:20" x14ac:dyDescent="0.35">
      <c r="A338" t="s">
        <v>350</v>
      </c>
      <c r="B338" s="2">
        <v>45289</v>
      </c>
      <c r="C338" t="s">
        <v>1550</v>
      </c>
      <c r="D338" t="s">
        <v>2408</v>
      </c>
      <c r="E338">
        <v>1</v>
      </c>
      <c r="F338">
        <v>18.2</v>
      </c>
      <c r="G338" t="s">
        <v>2689</v>
      </c>
      <c r="H338" t="s">
        <v>3065</v>
      </c>
      <c r="I338" t="s">
        <v>3074</v>
      </c>
      <c r="J338" t="s">
        <v>3411</v>
      </c>
      <c r="K338">
        <v>4</v>
      </c>
      <c r="L338" t="s">
        <v>4275</v>
      </c>
      <c r="M338" t="s">
        <v>4278</v>
      </c>
      <c r="N338">
        <v>18.2</v>
      </c>
      <c r="O338">
        <f t="shared" si="30"/>
        <v>18.2</v>
      </c>
      <c r="P338" t="str">
        <f t="shared" si="31"/>
        <v>Dec</v>
      </c>
      <c r="Q338" t="str">
        <f t="shared" si="32"/>
        <v>Q4</v>
      </c>
      <c r="R338" s="5" t="str">
        <f t="shared" si="33"/>
        <v>Small</v>
      </c>
      <c r="S338" s="5" t="str">
        <f t="shared" si="34"/>
        <v>Pending</v>
      </c>
      <c r="T338" s="5" t="str">
        <f t="shared" si="35"/>
        <v>Yes</v>
      </c>
    </row>
    <row r="339" spans="1:20"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c r="O339">
        <f t="shared" si="30"/>
        <v>1508.31</v>
      </c>
      <c r="P339" t="str">
        <f t="shared" si="31"/>
        <v>May</v>
      </c>
      <c r="Q339" t="str">
        <f t="shared" si="32"/>
        <v>Q2</v>
      </c>
      <c r="R339" s="5" t="str">
        <f t="shared" si="33"/>
        <v>Large</v>
      </c>
      <c r="S339" s="5" t="str">
        <f t="shared" si="34"/>
        <v>Pending</v>
      </c>
      <c r="T339" s="5" t="str">
        <f t="shared" si="35"/>
        <v>Yes</v>
      </c>
    </row>
    <row r="340" spans="1:20" x14ac:dyDescent="0.35">
      <c r="A340" t="s">
        <v>352</v>
      </c>
      <c r="B340" s="2">
        <v>45238</v>
      </c>
      <c r="C340" t="s">
        <v>1552</v>
      </c>
      <c r="D340" t="s">
        <v>2404</v>
      </c>
      <c r="E340">
        <v>5</v>
      </c>
      <c r="F340">
        <v>305.49</v>
      </c>
      <c r="G340" t="s">
        <v>2691</v>
      </c>
      <c r="H340" t="s">
        <v>3065</v>
      </c>
      <c r="I340" t="s">
        <v>3070</v>
      </c>
      <c r="J340" t="s">
        <v>3413</v>
      </c>
      <c r="K340">
        <v>10</v>
      </c>
      <c r="L340" t="s">
        <v>4329</v>
      </c>
      <c r="M340" t="s">
        <v>4279</v>
      </c>
      <c r="N340">
        <v>1527.45</v>
      </c>
      <c r="O340">
        <f t="shared" si="30"/>
        <v>1527.45</v>
      </c>
      <c r="P340" t="str">
        <f t="shared" si="31"/>
        <v>Nov</v>
      </c>
      <c r="Q340" t="str">
        <f t="shared" si="32"/>
        <v>Q4</v>
      </c>
      <c r="R340" s="5" t="str">
        <f t="shared" si="33"/>
        <v>Large</v>
      </c>
      <c r="S340" s="5" t="str">
        <f t="shared" si="34"/>
        <v>Pending</v>
      </c>
      <c r="T340" s="5" t="str">
        <f t="shared" si="35"/>
        <v>Yes</v>
      </c>
    </row>
    <row r="341" spans="1:20"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c r="O341">
        <f t="shared" si="30"/>
        <v>472.66</v>
      </c>
      <c r="P341" t="str">
        <f t="shared" si="31"/>
        <v>Apr</v>
      </c>
      <c r="Q341" t="str">
        <f t="shared" si="32"/>
        <v>Q2</v>
      </c>
      <c r="R341" s="5" t="str">
        <f t="shared" si="33"/>
        <v>Medium</v>
      </c>
      <c r="S341" s="5" t="str">
        <f t="shared" si="34"/>
        <v>Pending</v>
      </c>
      <c r="T341" s="5" t="str">
        <f t="shared" si="35"/>
        <v>Yes</v>
      </c>
    </row>
    <row r="342" spans="1:20" x14ac:dyDescent="0.35">
      <c r="A342" t="s">
        <v>354</v>
      </c>
      <c r="B342" s="2">
        <v>45039</v>
      </c>
      <c r="C342" t="s">
        <v>1554</v>
      </c>
      <c r="D342" t="s">
        <v>2408</v>
      </c>
      <c r="E342">
        <v>5</v>
      </c>
      <c r="F342">
        <v>521.25</v>
      </c>
      <c r="G342" t="s">
        <v>2693</v>
      </c>
      <c r="H342" t="s">
        <v>3069</v>
      </c>
      <c r="I342" t="s">
        <v>3071</v>
      </c>
      <c r="J342" t="s">
        <v>3415</v>
      </c>
      <c r="K342">
        <v>8</v>
      </c>
      <c r="L342" t="s">
        <v>4329</v>
      </c>
      <c r="M342" t="s">
        <v>4280</v>
      </c>
      <c r="N342">
        <v>2606.25</v>
      </c>
      <c r="O342">
        <f t="shared" si="30"/>
        <v>2606.25</v>
      </c>
      <c r="P342" t="str">
        <f t="shared" si="31"/>
        <v>Apr</v>
      </c>
      <c r="Q342" t="str">
        <f t="shared" si="32"/>
        <v>Q2</v>
      </c>
      <c r="R342" s="5" t="str">
        <f t="shared" si="33"/>
        <v>Large</v>
      </c>
      <c r="S342" s="5" t="str">
        <f t="shared" si="34"/>
        <v>Pending</v>
      </c>
      <c r="T342" s="5" t="str">
        <f t="shared" si="35"/>
        <v>Yes</v>
      </c>
    </row>
    <row r="343" spans="1:20"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c r="O343">
        <f t="shared" si="30"/>
        <v>167.15</v>
      </c>
      <c r="P343" t="str">
        <f t="shared" si="31"/>
        <v>Sep</v>
      </c>
      <c r="Q343" t="str">
        <f t="shared" si="32"/>
        <v>Q3</v>
      </c>
      <c r="R343" s="5" t="str">
        <f t="shared" si="33"/>
        <v>Medium</v>
      </c>
      <c r="S343" s="5" t="str">
        <f t="shared" si="34"/>
        <v>Pending</v>
      </c>
      <c r="T343" s="5" t="str">
        <f t="shared" si="35"/>
        <v>Yes</v>
      </c>
    </row>
    <row r="344" spans="1:20" x14ac:dyDescent="0.35">
      <c r="A344" t="s">
        <v>356</v>
      </c>
      <c r="B344" s="2">
        <v>45832</v>
      </c>
      <c r="C344" t="s">
        <v>1556</v>
      </c>
      <c r="D344" t="s">
        <v>2403</v>
      </c>
      <c r="E344">
        <v>5</v>
      </c>
      <c r="F344">
        <v>466.42</v>
      </c>
      <c r="G344" t="s">
        <v>2695</v>
      </c>
      <c r="H344" t="s">
        <v>3068</v>
      </c>
      <c r="I344" t="s">
        <v>3072</v>
      </c>
      <c r="J344" t="s">
        <v>3417</v>
      </c>
      <c r="K344">
        <v>5</v>
      </c>
      <c r="L344" t="s">
        <v>4329</v>
      </c>
      <c r="M344" t="s">
        <v>4279</v>
      </c>
      <c r="N344">
        <v>2332.1</v>
      </c>
      <c r="O344">
        <f t="shared" si="30"/>
        <v>2332.1</v>
      </c>
      <c r="P344" t="str">
        <f t="shared" si="31"/>
        <v>Jun</v>
      </c>
      <c r="Q344" t="str">
        <f t="shared" si="32"/>
        <v>Q2</v>
      </c>
      <c r="R344" s="5" t="str">
        <f t="shared" si="33"/>
        <v>Large</v>
      </c>
      <c r="S344" s="5" t="str">
        <f t="shared" si="34"/>
        <v>Pending</v>
      </c>
      <c r="T344" s="5" t="str">
        <f t="shared" si="35"/>
        <v>Yes</v>
      </c>
    </row>
    <row r="345" spans="1:20"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c r="O345">
        <f t="shared" si="30"/>
        <v>527.57000000000005</v>
      </c>
      <c r="P345" t="str">
        <f t="shared" si="31"/>
        <v>Feb</v>
      </c>
      <c r="Q345" t="str">
        <f t="shared" si="32"/>
        <v>Q1</v>
      </c>
      <c r="R345" s="5" t="str">
        <f t="shared" si="33"/>
        <v>Large</v>
      </c>
      <c r="S345" s="5" t="str">
        <f t="shared" si="34"/>
        <v>Pending</v>
      </c>
      <c r="T345" s="5" t="str">
        <f t="shared" si="35"/>
        <v>Yes</v>
      </c>
    </row>
    <row r="346" spans="1:20"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c r="O346">
        <f t="shared" si="30"/>
        <v>1870.02</v>
      </c>
      <c r="P346" t="str">
        <f t="shared" si="31"/>
        <v>Mar</v>
      </c>
      <c r="Q346" t="str">
        <f t="shared" si="32"/>
        <v>Q1</v>
      </c>
      <c r="R346" s="5" t="str">
        <f t="shared" si="33"/>
        <v>Large</v>
      </c>
      <c r="S346" s="5" t="str">
        <f t="shared" si="34"/>
        <v>Pending</v>
      </c>
      <c r="T346" s="5" t="str">
        <f t="shared" si="35"/>
        <v>Yes</v>
      </c>
    </row>
    <row r="347" spans="1:20"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c r="O347">
        <f t="shared" si="30"/>
        <v>2506.3000000000002</v>
      </c>
      <c r="P347" t="str">
        <f t="shared" si="31"/>
        <v>Dec</v>
      </c>
      <c r="Q347" t="str">
        <f t="shared" si="32"/>
        <v>Q4</v>
      </c>
      <c r="R347" s="5" t="str">
        <f t="shared" si="33"/>
        <v>Large</v>
      </c>
      <c r="S347" s="5" t="str">
        <f t="shared" si="34"/>
        <v>Pending</v>
      </c>
      <c r="T347" s="5" t="str">
        <f t="shared" si="35"/>
        <v>Yes</v>
      </c>
    </row>
    <row r="348" spans="1:20" x14ac:dyDescent="0.35">
      <c r="A348" t="s">
        <v>360</v>
      </c>
      <c r="B348" s="2">
        <v>45632</v>
      </c>
      <c r="C348" t="s">
        <v>1560</v>
      </c>
      <c r="D348" t="s">
        <v>2405</v>
      </c>
      <c r="E348">
        <v>1</v>
      </c>
      <c r="F348">
        <v>655.09</v>
      </c>
      <c r="G348" t="s">
        <v>2699</v>
      </c>
      <c r="H348" t="s">
        <v>3069</v>
      </c>
      <c r="I348" t="s">
        <v>3074</v>
      </c>
      <c r="J348" t="s">
        <v>3421</v>
      </c>
      <c r="K348">
        <v>6</v>
      </c>
      <c r="L348" t="s">
        <v>4329</v>
      </c>
      <c r="M348" t="s">
        <v>4279</v>
      </c>
      <c r="N348">
        <v>655.09</v>
      </c>
      <c r="O348">
        <f t="shared" si="30"/>
        <v>655.09</v>
      </c>
      <c r="P348" t="str">
        <f t="shared" si="31"/>
        <v>Dec</v>
      </c>
      <c r="Q348" t="str">
        <f t="shared" si="32"/>
        <v>Q4</v>
      </c>
      <c r="R348" s="5" t="str">
        <f t="shared" si="33"/>
        <v>Large</v>
      </c>
      <c r="S348" s="5" t="str">
        <f t="shared" si="34"/>
        <v>Pending</v>
      </c>
      <c r="T348" s="5" t="str">
        <f t="shared" si="35"/>
        <v>Yes</v>
      </c>
    </row>
    <row r="349" spans="1:20"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c r="O349">
        <f t="shared" si="30"/>
        <v>1059.1600000000001</v>
      </c>
      <c r="P349" t="str">
        <f t="shared" si="31"/>
        <v>Feb</v>
      </c>
      <c r="Q349" t="str">
        <f t="shared" si="32"/>
        <v>Q1</v>
      </c>
      <c r="R349" s="5" t="str">
        <f t="shared" si="33"/>
        <v>Large</v>
      </c>
      <c r="S349" s="5" t="str">
        <f t="shared" si="34"/>
        <v>Pending</v>
      </c>
      <c r="T349" s="5" t="str">
        <f t="shared" si="35"/>
        <v>Yes</v>
      </c>
    </row>
    <row r="350" spans="1:20"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c r="O350">
        <f t="shared" si="30"/>
        <v>1079.19</v>
      </c>
      <c r="P350" t="str">
        <f t="shared" si="31"/>
        <v>Mar</v>
      </c>
      <c r="Q350" t="str">
        <f t="shared" si="32"/>
        <v>Q1</v>
      </c>
      <c r="R350" s="5" t="str">
        <f t="shared" si="33"/>
        <v>Large</v>
      </c>
      <c r="S350" s="5" t="str">
        <f t="shared" si="34"/>
        <v>Pending</v>
      </c>
      <c r="T350" s="5" t="str">
        <f t="shared" si="35"/>
        <v>Yes</v>
      </c>
    </row>
    <row r="351" spans="1:20"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c r="O351">
        <f t="shared" si="30"/>
        <v>465.33</v>
      </c>
      <c r="P351" t="str">
        <f t="shared" si="31"/>
        <v>Nov</v>
      </c>
      <c r="Q351" t="str">
        <f t="shared" si="32"/>
        <v>Q4</v>
      </c>
      <c r="R351" s="5" t="str">
        <f t="shared" si="33"/>
        <v>Medium</v>
      </c>
      <c r="S351" s="5" t="str">
        <f t="shared" si="34"/>
        <v>Completed</v>
      </c>
      <c r="T351" s="5" t="str">
        <f t="shared" si="35"/>
        <v>Yes</v>
      </c>
    </row>
    <row r="352" spans="1:20" x14ac:dyDescent="0.35">
      <c r="A352" t="s">
        <v>364</v>
      </c>
      <c r="B352" s="2">
        <v>45080</v>
      </c>
      <c r="C352" t="s">
        <v>1564</v>
      </c>
      <c r="D352" t="s">
        <v>2406</v>
      </c>
      <c r="E352">
        <v>2</v>
      </c>
      <c r="F352">
        <v>54.41</v>
      </c>
      <c r="G352" t="s">
        <v>2703</v>
      </c>
      <c r="H352" t="s">
        <v>3066</v>
      </c>
      <c r="I352" t="s">
        <v>3070</v>
      </c>
      <c r="J352" t="s">
        <v>3425</v>
      </c>
      <c r="K352">
        <v>6</v>
      </c>
      <c r="L352" t="s">
        <v>4329</v>
      </c>
      <c r="M352" t="s">
        <v>4278</v>
      </c>
      <c r="N352">
        <v>108.82</v>
      </c>
      <c r="O352">
        <f t="shared" si="30"/>
        <v>108.82</v>
      </c>
      <c r="P352" t="str">
        <f t="shared" si="31"/>
        <v>Jun</v>
      </c>
      <c r="Q352" t="str">
        <f t="shared" si="32"/>
        <v>Q2</v>
      </c>
      <c r="R352" s="5" t="str">
        <f t="shared" si="33"/>
        <v>Medium</v>
      </c>
      <c r="S352" s="5" t="str">
        <f t="shared" si="34"/>
        <v>Pending</v>
      </c>
      <c r="T352" s="5" t="str">
        <f t="shared" si="35"/>
        <v>Yes</v>
      </c>
    </row>
    <row r="353" spans="1:20" x14ac:dyDescent="0.35">
      <c r="A353" t="s">
        <v>365</v>
      </c>
      <c r="B353" s="2">
        <v>45703</v>
      </c>
      <c r="C353" t="s">
        <v>1565</v>
      </c>
      <c r="D353" t="s">
        <v>2408</v>
      </c>
      <c r="E353">
        <v>1</v>
      </c>
      <c r="F353">
        <v>64.66</v>
      </c>
      <c r="G353" t="s">
        <v>2704</v>
      </c>
      <c r="H353" t="s">
        <v>3065</v>
      </c>
      <c r="I353" t="s">
        <v>3073</v>
      </c>
      <c r="J353" t="s">
        <v>3426</v>
      </c>
      <c r="K353">
        <v>4</v>
      </c>
      <c r="L353" t="s">
        <v>4329</v>
      </c>
      <c r="M353" t="s">
        <v>4278</v>
      </c>
      <c r="N353">
        <v>64.66</v>
      </c>
      <c r="O353">
        <f t="shared" si="30"/>
        <v>64.66</v>
      </c>
      <c r="P353" t="str">
        <f t="shared" si="31"/>
        <v>Feb</v>
      </c>
      <c r="Q353" t="str">
        <f t="shared" si="32"/>
        <v>Q1</v>
      </c>
      <c r="R353" s="5" t="str">
        <f t="shared" si="33"/>
        <v>Small</v>
      </c>
      <c r="S353" s="5" t="str">
        <f t="shared" si="34"/>
        <v>Completed</v>
      </c>
      <c r="T353" s="5" t="str">
        <f t="shared" si="35"/>
        <v>Yes</v>
      </c>
    </row>
    <row r="354" spans="1:20"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c r="O354">
        <f t="shared" si="30"/>
        <v>869.80000000000007</v>
      </c>
      <c r="P354" t="str">
        <f t="shared" si="31"/>
        <v>Aug</v>
      </c>
      <c r="Q354" t="str">
        <f t="shared" si="32"/>
        <v>Q3</v>
      </c>
      <c r="R354" s="5" t="str">
        <f t="shared" si="33"/>
        <v>Large</v>
      </c>
      <c r="S354" s="5" t="str">
        <f t="shared" si="34"/>
        <v>Pending</v>
      </c>
      <c r="T354" s="5" t="str">
        <f t="shared" si="35"/>
        <v>Yes</v>
      </c>
    </row>
    <row r="355" spans="1:20"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c r="O355">
        <f t="shared" si="30"/>
        <v>630.82000000000005</v>
      </c>
      <c r="P355" t="str">
        <f t="shared" si="31"/>
        <v>Mar</v>
      </c>
      <c r="Q355" t="str">
        <f t="shared" si="32"/>
        <v>Q1</v>
      </c>
      <c r="R355" s="5" t="str">
        <f t="shared" si="33"/>
        <v>Large</v>
      </c>
      <c r="S355" s="5" t="str">
        <f t="shared" si="34"/>
        <v>Completed</v>
      </c>
      <c r="T355" s="5" t="str">
        <f t="shared" si="35"/>
        <v>Yes</v>
      </c>
    </row>
    <row r="356" spans="1:20" x14ac:dyDescent="0.35">
      <c r="A356" t="s">
        <v>368</v>
      </c>
      <c r="B356" s="2">
        <v>45118</v>
      </c>
      <c r="C356" t="s">
        <v>1568</v>
      </c>
      <c r="D356" t="s">
        <v>2404</v>
      </c>
      <c r="E356">
        <v>1</v>
      </c>
      <c r="F356">
        <v>693.41</v>
      </c>
      <c r="G356" t="s">
        <v>2707</v>
      </c>
      <c r="H356" t="s">
        <v>3065</v>
      </c>
      <c r="I356" t="s">
        <v>3070</v>
      </c>
      <c r="J356" t="s">
        <v>3429</v>
      </c>
      <c r="K356">
        <v>4</v>
      </c>
      <c r="L356" t="s">
        <v>4329</v>
      </c>
      <c r="M356" t="s">
        <v>4278</v>
      </c>
      <c r="N356">
        <v>693.41</v>
      </c>
      <c r="O356">
        <f t="shared" si="30"/>
        <v>693.41</v>
      </c>
      <c r="P356" t="str">
        <f t="shared" si="31"/>
        <v>Jul</v>
      </c>
      <c r="Q356" t="str">
        <f t="shared" si="32"/>
        <v>Q3</v>
      </c>
      <c r="R356" s="5" t="str">
        <f t="shared" si="33"/>
        <v>Large</v>
      </c>
      <c r="S356" s="5" t="str">
        <f t="shared" si="34"/>
        <v>Pending</v>
      </c>
      <c r="T356" s="5" t="str">
        <f t="shared" si="35"/>
        <v>Yes</v>
      </c>
    </row>
    <row r="357" spans="1:20"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c r="O357">
        <f t="shared" si="30"/>
        <v>1299.99</v>
      </c>
      <c r="P357" t="str">
        <f t="shared" si="31"/>
        <v>Jun</v>
      </c>
      <c r="Q357" t="str">
        <f t="shared" si="32"/>
        <v>Q2</v>
      </c>
      <c r="R357" s="5" t="str">
        <f t="shared" si="33"/>
        <v>Large</v>
      </c>
      <c r="S357" s="5" t="str">
        <f t="shared" si="34"/>
        <v>Pending</v>
      </c>
      <c r="T357" s="5" t="str">
        <f t="shared" si="35"/>
        <v>Yes</v>
      </c>
    </row>
    <row r="358" spans="1:20"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c r="O358">
        <f t="shared" si="30"/>
        <v>1872.8999999999999</v>
      </c>
      <c r="P358" t="str">
        <f t="shared" si="31"/>
        <v>May</v>
      </c>
      <c r="Q358" t="str">
        <f t="shared" si="32"/>
        <v>Q2</v>
      </c>
      <c r="R358" s="5" t="str">
        <f t="shared" si="33"/>
        <v>Large</v>
      </c>
      <c r="S358" s="5" t="str">
        <f t="shared" si="34"/>
        <v>Pending</v>
      </c>
      <c r="T358" s="5" t="str">
        <f t="shared" si="35"/>
        <v>Yes</v>
      </c>
    </row>
    <row r="359" spans="1:20"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c r="O359">
        <f t="shared" si="30"/>
        <v>2042.8</v>
      </c>
      <c r="P359" t="str">
        <f t="shared" si="31"/>
        <v>Jul</v>
      </c>
      <c r="Q359" t="str">
        <f t="shared" si="32"/>
        <v>Q3</v>
      </c>
      <c r="R359" s="5" t="str">
        <f t="shared" si="33"/>
        <v>Large</v>
      </c>
      <c r="S359" s="5" t="str">
        <f t="shared" si="34"/>
        <v>Completed</v>
      </c>
      <c r="T359" s="5" t="str">
        <f t="shared" si="35"/>
        <v>Yes</v>
      </c>
    </row>
    <row r="360" spans="1:20"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c r="O360">
        <f t="shared" si="30"/>
        <v>367.34</v>
      </c>
      <c r="P360" t="str">
        <f t="shared" si="31"/>
        <v>Apr</v>
      </c>
      <c r="Q360" t="str">
        <f t="shared" si="32"/>
        <v>Q2</v>
      </c>
      <c r="R360" s="5" t="str">
        <f t="shared" si="33"/>
        <v>Medium</v>
      </c>
      <c r="S360" s="5" t="str">
        <f t="shared" si="34"/>
        <v>Pending</v>
      </c>
      <c r="T360" s="5" t="str">
        <f t="shared" si="35"/>
        <v>Yes</v>
      </c>
    </row>
    <row r="361" spans="1:20"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c r="O361">
        <f t="shared" si="30"/>
        <v>2426.2800000000002</v>
      </c>
      <c r="P361" t="str">
        <f t="shared" si="31"/>
        <v>Jun</v>
      </c>
      <c r="Q361" t="str">
        <f t="shared" si="32"/>
        <v>Q2</v>
      </c>
      <c r="R361" s="5" t="str">
        <f t="shared" si="33"/>
        <v>Large</v>
      </c>
      <c r="S361" s="5" t="str">
        <f t="shared" si="34"/>
        <v>Completed</v>
      </c>
      <c r="T361" s="5" t="str">
        <f t="shared" si="35"/>
        <v>Yes</v>
      </c>
    </row>
    <row r="362" spans="1:20" x14ac:dyDescent="0.35">
      <c r="A362" t="s">
        <v>374</v>
      </c>
      <c r="B362" s="2">
        <v>45449</v>
      </c>
      <c r="C362" t="s">
        <v>1574</v>
      </c>
      <c r="D362" t="s">
        <v>2404</v>
      </c>
      <c r="E362">
        <v>4</v>
      </c>
      <c r="F362">
        <v>589.57000000000005</v>
      </c>
      <c r="G362" t="s">
        <v>2712</v>
      </c>
      <c r="H362" t="s">
        <v>3069</v>
      </c>
      <c r="I362" t="s">
        <v>3074</v>
      </c>
      <c r="J362" t="s">
        <v>3435</v>
      </c>
      <c r="K362">
        <v>8</v>
      </c>
      <c r="L362" t="s">
        <v>4329</v>
      </c>
      <c r="M362" t="s">
        <v>4278</v>
      </c>
      <c r="N362">
        <v>2358.2800000000002</v>
      </c>
      <c r="O362">
        <f t="shared" si="30"/>
        <v>2358.2800000000002</v>
      </c>
      <c r="P362" t="str">
        <f t="shared" si="31"/>
        <v>Jun</v>
      </c>
      <c r="Q362" t="str">
        <f t="shared" si="32"/>
        <v>Q2</v>
      </c>
      <c r="R362" s="5" t="str">
        <f t="shared" si="33"/>
        <v>Large</v>
      </c>
      <c r="S362" s="5" t="str">
        <f t="shared" si="34"/>
        <v>Pending</v>
      </c>
      <c r="T362" s="5" t="str">
        <f t="shared" si="35"/>
        <v>Yes</v>
      </c>
    </row>
    <row r="363" spans="1:20"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c r="O363">
        <f t="shared" si="30"/>
        <v>3299.25</v>
      </c>
      <c r="P363" t="str">
        <f t="shared" si="31"/>
        <v>Jun</v>
      </c>
      <c r="Q363" t="str">
        <f t="shared" si="32"/>
        <v>Q2</v>
      </c>
      <c r="R363" s="5" t="str">
        <f t="shared" si="33"/>
        <v>Large</v>
      </c>
      <c r="S363" s="5" t="str">
        <f t="shared" si="34"/>
        <v>Completed</v>
      </c>
      <c r="T363" s="5" t="str">
        <f t="shared" si="35"/>
        <v>Yes</v>
      </c>
    </row>
    <row r="364" spans="1:20"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c r="O364">
        <f t="shared" si="30"/>
        <v>827.36</v>
      </c>
      <c r="P364" t="str">
        <f t="shared" si="31"/>
        <v>Jun</v>
      </c>
      <c r="Q364" t="str">
        <f t="shared" si="32"/>
        <v>Q2</v>
      </c>
      <c r="R364" s="5" t="str">
        <f t="shared" si="33"/>
        <v>Large</v>
      </c>
      <c r="S364" s="5" t="str">
        <f t="shared" si="34"/>
        <v>Pending</v>
      </c>
      <c r="T364" s="5" t="str">
        <f t="shared" si="35"/>
        <v>Yes</v>
      </c>
    </row>
    <row r="365" spans="1:20"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c r="O365">
        <f t="shared" si="30"/>
        <v>569.35</v>
      </c>
      <c r="P365" t="str">
        <f t="shared" si="31"/>
        <v>May</v>
      </c>
      <c r="Q365" t="str">
        <f t="shared" si="32"/>
        <v>Q2</v>
      </c>
      <c r="R365" s="5" t="str">
        <f t="shared" si="33"/>
        <v>Large</v>
      </c>
      <c r="S365" s="5" t="str">
        <f t="shared" si="34"/>
        <v>Pending</v>
      </c>
      <c r="T365" s="5" t="str">
        <f t="shared" si="35"/>
        <v>Yes</v>
      </c>
    </row>
    <row r="366" spans="1:20"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c r="O366">
        <f t="shared" si="30"/>
        <v>3143.7</v>
      </c>
      <c r="P366" t="str">
        <f t="shared" si="31"/>
        <v>Nov</v>
      </c>
      <c r="Q366" t="str">
        <f t="shared" si="32"/>
        <v>Q4</v>
      </c>
      <c r="R366" s="5" t="str">
        <f t="shared" si="33"/>
        <v>Large</v>
      </c>
      <c r="S366" s="5" t="str">
        <f t="shared" si="34"/>
        <v>Pending</v>
      </c>
      <c r="T366" s="5" t="str">
        <f t="shared" si="35"/>
        <v>Yes</v>
      </c>
    </row>
    <row r="367" spans="1:20"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c r="O367">
        <f t="shared" si="30"/>
        <v>678.38</v>
      </c>
      <c r="P367" t="str">
        <f t="shared" si="31"/>
        <v>Feb</v>
      </c>
      <c r="Q367" t="str">
        <f t="shared" si="32"/>
        <v>Q1</v>
      </c>
      <c r="R367" s="5" t="str">
        <f t="shared" si="33"/>
        <v>Large</v>
      </c>
      <c r="S367" s="5" t="str">
        <f t="shared" si="34"/>
        <v>Pending</v>
      </c>
      <c r="T367" s="5" t="str">
        <f t="shared" si="35"/>
        <v>Yes</v>
      </c>
    </row>
    <row r="368" spans="1:20" x14ac:dyDescent="0.35">
      <c r="A368" t="s">
        <v>380</v>
      </c>
      <c r="B368" s="2">
        <v>44967</v>
      </c>
      <c r="C368" t="s">
        <v>1580</v>
      </c>
      <c r="D368" t="s">
        <v>2407</v>
      </c>
      <c r="E368">
        <v>3</v>
      </c>
      <c r="F368">
        <v>602.24</v>
      </c>
      <c r="G368" t="s">
        <v>2715</v>
      </c>
      <c r="H368" t="s">
        <v>3065</v>
      </c>
      <c r="I368" t="s">
        <v>3074</v>
      </c>
      <c r="J368" t="s">
        <v>3441</v>
      </c>
      <c r="K368">
        <v>8</v>
      </c>
      <c r="L368" t="s">
        <v>4329</v>
      </c>
      <c r="M368" t="s">
        <v>4279</v>
      </c>
      <c r="N368">
        <v>1806.72</v>
      </c>
      <c r="O368">
        <f t="shared" si="30"/>
        <v>1806.72</v>
      </c>
      <c r="P368" t="str">
        <f t="shared" si="31"/>
        <v>Feb</v>
      </c>
      <c r="Q368" t="str">
        <f t="shared" si="32"/>
        <v>Q1</v>
      </c>
      <c r="R368" s="5" t="str">
        <f t="shared" si="33"/>
        <v>Large</v>
      </c>
      <c r="S368" s="5" t="str">
        <f t="shared" si="34"/>
        <v>Pending</v>
      </c>
      <c r="T368" s="5" t="str">
        <f t="shared" si="35"/>
        <v>Yes</v>
      </c>
    </row>
    <row r="369" spans="1:20"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c r="O369">
        <f t="shared" si="30"/>
        <v>3293.85</v>
      </c>
      <c r="P369" t="str">
        <f t="shared" si="31"/>
        <v>Apr</v>
      </c>
      <c r="Q369" t="str">
        <f t="shared" si="32"/>
        <v>Q2</v>
      </c>
      <c r="R369" s="5" t="str">
        <f t="shared" si="33"/>
        <v>Large</v>
      </c>
      <c r="S369" s="5" t="str">
        <f t="shared" si="34"/>
        <v>Pending</v>
      </c>
      <c r="T369" s="5" t="str">
        <f t="shared" si="35"/>
        <v>Yes</v>
      </c>
    </row>
    <row r="370" spans="1:20" x14ac:dyDescent="0.35">
      <c r="A370" t="s">
        <v>382</v>
      </c>
      <c r="B370" s="2">
        <v>45047</v>
      </c>
      <c r="C370" t="s">
        <v>1582</v>
      </c>
      <c r="D370" t="s">
        <v>2403</v>
      </c>
      <c r="E370">
        <v>3</v>
      </c>
      <c r="F370">
        <v>271.02</v>
      </c>
      <c r="G370" t="s">
        <v>2716</v>
      </c>
      <c r="H370" t="s">
        <v>3067</v>
      </c>
      <c r="I370" t="s">
        <v>3071</v>
      </c>
      <c r="J370" t="s">
        <v>3443</v>
      </c>
      <c r="K370">
        <v>6</v>
      </c>
      <c r="L370" t="s">
        <v>4329</v>
      </c>
      <c r="M370" t="s">
        <v>4282</v>
      </c>
      <c r="N370">
        <v>813.06</v>
      </c>
      <c r="O370">
        <f t="shared" si="30"/>
        <v>813.06</v>
      </c>
      <c r="P370" t="str">
        <f t="shared" si="31"/>
        <v>May</v>
      </c>
      <c r="Q370" t="str">
        <f t="shared" si="32"/>
        <v>Q2</v>
      </c>
      <c r="R370" s="5" t="str">
        <f t="shared" si="33"/>
        <v>Large</v>
      </c>
      <c r="S370" s="5" t="str">
        <f t="shared" si="34"/>
        <v>Pending</v>
      </c>
      <c r="T370" s="5" t="str">
        <f t="shared" si="35"/>
        <v>Yes</v>
      </c>
    </row>
    <row r="371" spans="1:20"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c r="O371">
        <f t="shared" si="30"/>
        <v>1876.25</v>
      </c>
      <c r="P371" t="str">
        <f t="shared" si="31"/>
        <v>Dec</v>
      </c>
      <c r="Q371" t="str">
        <f t="shared" si="32"/>
        <v>Q4</v>
      </c>
      <c r="R371" s="5" t="str">
        <f t="shared" si="33"/>
        <v>Large</v>
      </c>
      <c r="S371" s="5" t="str">
        <f t="shared" si="34"/>
        <v>Pending</v>
      </c>
      <c r="T371" s="5" t="str">
        <f t="shared" si="35"/>
        <v>Yes</v>
      </c>
    </row>
    <row r="372" spans="1:20"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c r="O372">
        <f t="shared" si="30"/>
        <v>312.11</v>
      </c>
      <c r="P372" t="str">
        <f t="shared" si="31"/>
        <v>May</v>
      </c>
      <c r="Q372" t="str">
        <f t="shared" si="32"/>
        <v>Q2</v>
      </c>
      <c r="R372" s="5" t="str">
        <f t="shared" si="33"/>
        <v>Medium</v>
      </c>
      <c r="S372" s="5" t="str">
        <f t="shared" si="34"/>
        <v>Pending</v>
      </c>
      <c r="T372" s="5" t="str">
        <f t="shared" si="35"/>
        <v>Yes</v>
      </c>
    </row>
    <row r="373" spans="1:20"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c r="O373">
        <f t="shared" si="30"/>
        <v>1538.8</v>
      </c>
      <c r="P373" t="str">
        <f t="shared" si="31"/>
        <v>Jan</v>
      </c>
      <c r="Q373" t="str">
        <f t="shared" si="32"/>
        <v>Q1</v>
      </c>
      <c r="R373" s="5" t="str">
        <f t="shared" si="33"/>
        <v>Large</v>
      </c>
      <c r="S373" s="5" t="str">
        <f t="shared" si="34"/>
        <v>Pending</v>
      </c>
      <c r="T373" s="5" t="str">
        <f t="shared" si="35"/>
        <v>Yes</v>
      </c>
    </row>
    <row r="374" spans="1:20" x14ac:dyDescent="0.35">
      <c r="A374" t="s">
        <v>386</v>
      </c>
      <c r="B374" s="2">
        <v>45702</v>
      </c>
      <c r="C374" t="s">
        <v>1586</v>
      </c>
      <c r="D374" t="s">
        <v>2406</v>
      </c>
      <c r="E374">
        <v>3</v>
      </c>
      <c r="F374">
        <v>483.53</v>
      </c>
      <c r="G374" t="s">
        <v>2719</v>
      </c>
      <c r="H374" t="s">
        <v>3069</v>
      </c>
      <c r="I374" t="s">
        <v>3072</v>
      </c>
      <c r="J374" t="s">
        <v>3447</v>
      </c>
      <c r="K374">
        <v>4</v>
      </c>
      <c r="L374" t="s">
        <v>4329</v>
      </c>
      <c r="M374" t="s">
        <v>4279</v>
      </c>
      <c r="N374">
        <v>1450.59</v>
      </c>
      <c r="O374">
        <f t="shared" si="30"/>
        <v>1450.59</v>
      </c>
      <c r="P374" t="str">
        <f t="shared" si="31"/>
        <v>Feb</v>
      </c>
      <c r="Q374" t="str">
        <f t="shared" si="32"/>
        <v>Q1</v>
      </c>
      <c r="R374" s="5" t="str">
        <f t="shared" si="33"/>
        <v>Large</v>
      </c>
      <c r="S374" s="5" t="str">
        <f t="shared" si="34"/>
        <v>Pending</v>
      </c>
      <c r="T374" s="5" t="str">
        <f t="shared" si="35"/>
        <v>Yes</v>
      </c>
    </row>
    <row r="375" spans="1:20"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c r="O375">
        <f t="shared" si="30"/>
        <v>1023.4499999999999</v>
      </c>
      <c r="P375" t="str">
        <f t="shared" si="31"/>
        <v>Jan</v>
      </c>
      <c r="Q375" t="str">
        <f t="shared" si="32"/>
        <v>Q1</v>
      </c>
      <c r="R375" s="5" t="str">
        <f t="shared" si="33"/>
        <v>Large</v>
      </c>
      <c r="S375" s="5" t="str">
        <f t="shared" si="34"/>
        <v>Pending</v>
      </c>
      <c r="T375" s="5" t="str">
        <f t="shared" si="35"/>
        <v>Yes</v>
      </c>
    </row>
    <row r="376" spans="1:20"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c r="O376">
        <f t="shared" si="30"/>
        <v>571.9</v>
      </c>
      <c r="P376" t="str">
        <f t="shared" si="31"/>
        <v>Sep</v>
      </c>
      <c r="Q376" t="str">
        <f t="shared" si="32"/>
        <v>Q3</v>
      </c>
      <c r="R376" s="5" t="str">
        <f t="shared" si="33"/>
        <v>Large</v>
      </c>
      <c r="S376" s="5" t="str">
        <f t="shared" si="34"/>
        <v>Pending</v>
      </c>
      <c r="T376" s="5" t="str">
        <f t="shared" si="35"/>
        <v>Yes</v>
      </c>
    </row>
    <row r="377" spans="1:20"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c r="O377">
        <f t="shared" si="30"/>
        <v>380.12</v>
      </c>
      <c r="P377" t="str">
        <f t="shared" si="31"/>
        <v>Jan</v>
      </c>
      <c r="Q377" t="str">
        <f t="shared" si="32"/>
        <v>Q1</v>
      </c>
      <c r="R377" s="5" t="str">
        <f t="shared" si="33"/>
        <v>Medium</v>
      </c>
      <c r="S377" s="5" t="str">
        <f t="shared" si="34"/>
        <v>Pending</v>
      </c>
      <c r="T377" s="5" t="str">
        <f t="shared" si="35"/>
        <v>Yes</v>
      </c>
    </row>
    <row r="378" spans="1:20"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c r="O378">
        <f t="shared" si="30"/>
        <v>1006.1</v>
      </c>
      <c r="P378" t="str">
        <f t="shared" si="31"/>
        <v>Aug</v>
      </c>
      <c r="Q378" t="str">
        <f t="shared" si="32"/>
        <v>Q3</v>
      </c>
      <c r="R378" s="5" t="str">
        <f t="shared" si="33"/>
        <v>Large</v>
      </c>
      <c r="S378" s="5" t="str">
        <f t="shared" si="34"/>
        <v>Pending</v>
      </c>
      <c r="T378" s="5" t="str">
        <f t="shared" si="35"/>
        <v>Yes</v>
      </c>
    </row>
    <row r="379" spans="1:20"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c r="O379">
        <f t="shared" si="30"/>
        <v>260.26</v>
      </c>
      <c r="P379" t="str">
        <f t="shared" si="31"/>
        <v>Jul</v>
      </c>
      <c r="Q379" t="str">
        <f t="shared" si="32"/>
        <v>Q3</v>
      </c>
      <c r="R379" s="5" t="str">
        <f t="shared" si="33"/>
        <v>Medium</v>
      </c>
      <c r="S379" s="5" t="str">
        <f t="shared" si="34"/>
        <v>Pending</v>
      </c>
      <c r="T379" s="5" t="str">
        <f t="shared" si="35"/>
        <v>Yes</v>
      </c>
    </row>
    <row r="380" spans="1:20"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c r="O380">
        <f t="shared" si="30"/>
        <v>322.5</v>
      </c>
      <c r="P380" t="str">
        <f t="shared" si="31"/>
        <v>Feb</v>
      </c>
      <c r="Q380" t="str">
        <f t="shared" si="32"/>
        <v>Q1</v>
      </c>
      <c r="R380" s="5" t="str">
        <f t="shared" si="33"/>
        <v>Medium</v>
      </c>
      <c r="S380" s="5" t="str">
        <f t="shared" si="34"/>
        <v>Pending</v>
      </c>
      <c r="T380" s="5" t="str">
        <f t="shared" si="35"/>
        <v>Yes</v>
      </c>
    </row>
    <row r="381" spans="1:20" x14ac:dyDescent="0.35">
      <c r="A381" t="s">
        <v>393</v>
      </c>
      <c r="B381" s="2">
        <v>45556</v>
      </c>
      <c r="C381" t="s">
        <v>1593</v>
      </c>
      <c r="D381" t="s">
        <v>2404</v>
      </c>
      <c r="E381">
        <v>3</v>
      </c>
      <c r="F381">
        <v>297.67</v>
      </c>
      <c r="G381" t="s">
        <v>2571</v>
      </c>
      <c r="H381" t="s">
        <v>3066</v>
      </c>
      <c r="I381" t="s">
        <v>3070</v>
      </c>
      <c r="J381" t="s">
        <v>3454</v>
      </c>
      <c r="K381">
        <v>6</v>
      </c>
      <c r="L381" t="s">
        <v>4329</v>
      </c>
      <c r="M381" t="s">
        <v>4282</v>
      </c>
      <c r="N381">
        <v>893.01</v>
      </c>
      <c r="O381">
        <f t="shared" si="30"/>
        <v>893.01</v>
      </c>
      <c r="P381" t="str">
        <f t="shared" si="31"/>
        <v>Sep</v>
      </c>
      <c r="Q381" t="str">
        <f t="shared" si="32"/>
        <v>Q3</v>
      </c>
      <c r="R381" s="5" t="str">
        <f t="shared" si="33"/>
        <v>Large</v>
      </c>
      <c r="S381" s="5" t="str">
        <f t="shared" si="34"/>
        <v>Pending</v>
      </c>
      <c r="T381" s="5" t="str">
        <f t="shared" si="35"/>
        <v>Yes</v>
      </c>
    </row>
    <row r="382" spans="1:20"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c r="O382">
        <f t="shared" si="30"/>
        <v>1327.6</v>
      </c>
      <c r="P382" t="str">
        <f t="shared" si="31"/>
        <v>Apr</v>
      </c>
      <c r="Q382" t="str">
        <f t="shared" si="32"/>
        <v>Q2</v>
      </c>
      <c r="R382" s="5" t="str">
        <f t="shared" si="33"/>
        <v>Large</v>
      </c>
      <c r="S382" s="5" t="str">
        <f t="shared" si="34"/>
        <v>Pending</v>
      </c>
      <c r="T382" s="5" t="str">
        <f t="shared" si="35"/>
        <v>Yes</v>
      </c>
    </row>
    <row r="383" spans="1:20"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c r="O383">
        <f t="shared" si="30"/>
        <v>191.76</v>
      </c>
      <c r="P383" t="str">
        <f t="shared" si="31"/>
        <v>Jun</v>
      </c>
      <c r="Q383" t="str">
        <f t="shared" si="32"/>
        <v>Q2</v>
      </c>
      <c r="R383" s="5" t="str">
        <f t="shared" si="33"/>
        <v>Medium</v>
      </c>
      <c r="S383" s="5" t="str">
        <f t="shared" si="34"/>
        <v>Pending</v>
      </c>
      <c r="T383" s="5" t="str">
        <f t="shared" si="35"/>
        <v>Yes</v>
      </c>
    </row>
    <row r="384" spans="1:20"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c r="O384">
        <f t="shared" si="30"/>
        <v>1052.3599999999999</v>
      </c>
      <c r="P384" t="str">
        <f t="shared" si="31"/>
        <v>Jan</v>
      </c>
      <c r="Q384" t="str">
        <f t="shared" si="32"/>
        <v>Q1</v>
      </c>
      <c r="R384" s="5" t="str">
        <f t="shared" si="33"/>
        <v>Large</v>
      </c>
      <c r="S384" s="5" t="str">
        <f t="shared" si="34"/>
        <v>Pending</v>
      </c>
      <c r="T384" s="5" t="str">
        <f t="shared" si="35"/>
        <v>Yes</v>
      </c>
    </row>
    <row r="385" spans="1:20"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c r="O385">
        <f t="shared" si="30"/>
        <v>1575.2</v>
      </c>
      <c r="P385" t="str">
        <f t="shared" si="31"/>
        <v>Jan</v>
      </c>
      <c r="Q385" t="str">
        <f t="shared" si="32"/>
        <v>Q1</v>
      </c>
      <c r="R385" s="5" t="str">
        <f t="shared" si="33"/>
        <v>Large</v>
      </c>
      <c r="S385" s="5" t="str">
        <f t="shared" si="34"/>
        <v>Pending</v>
      </c>
      <c r="T385" s="5" t="str">
        <f t="shared" si="35"/>
        <v>Yes</v>
      </c>
    </row>
    <row r="386" spans="1:20"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c r="O386">
        <f t="shared" ref="O386:O449" si="36">E386*F386</f>
        <v>1660.71</v>
      </c>
      <c r="P386" t="str">
        <f t="shared" ref="P386:P449" si="37">TEXT(B386, "mmm")</f>
        <v>Nov</v>
      </c>
      <c r="Q386" t="str">
        <f t="shared" ref="Q386:Q449" si="38">"Q"&amp;ROUNDUP(MONTH(B386)/3,0)</f>
        <v>Q4</v>
      </c>
      <c r="R386" s="5" t="str">
        <f t="shared" ref="R386:R449" si="39">IF(N386&lt;100,"Small", IF(N386&lt;500, "Medium", "Large"))</f>
        <v>Large</v>
      </c>
      <c r="S386" s="5" t="str">
        <f t="shared" ref="S386:S449" si="40">IF(I386="Delivered","Completed","Pending")</f>
        <v>Pending</v>
      </c>
      <c r="T386" s="5" t="str">
        <f t="shared" ref="T386:T449" si="41">IF(L386="","No", "Yes")</f>
        <v>Yes</v>
      </c>
    </row>
    <row r="387" spans="1:20"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c r="O387">
        <f t="shared" si="36"/>
        <v>958.15</v>
      </c>
      <c r="P387" t="str">
        <f t="shared" si="37"/>
        <v>Oct</v>
      </c>
      <c r="Q387" t="str">
        <f t="shared" si="38"/>
        <v>Q4</v>
      </c>
      <c r="R387" s="5" t="str">
        <f t="shared" si="39"/>
        <v>Large</v>
      </c>
      <c r="S387" s="5" t="str">
        <f t="shared" si="40"/>
        <v>Completed</v>
      </c>
      <c r="T387" s="5" t="str">
        <f t="shared" si="41"/>
        <v>Yes</v>
      </c>
    </row>
    <row r="388" spans="1:20" x14ac:dyDescent="0.35">
      <c r="A388" t="s">
        <v>400</v>
      </c>
      <c r="B388" s="2">
        <v>45044</v>
      </c>
      <c r="C388" t="s">
        <v>1600</v>
      </c>
      <c r="D388" t="s">
        <v>2405</v>
      </c>
      <c r="E388">
        <v>1</v>
      </c>
      <c r="F388">
        <v>93.02</v>
      </c>
      <c r="G388" t="s">
        <v>2726</v>
      </c>
      <c r="H388" t="s">
        <v>3066</v>
      </c>
      <c r="I388" t="s">
        <v>3072</v>
      </c>
      <c r="J388" t="s">
        <v>3461</v>
      </c>
      <c r="K388">
        <v>4</v>
      </c>
      <c r="L388" t="s">
        <v>4329</v>
      </c>
      <c r="M388" t="s">
        <v>4280</v>
      </c>
      <c r="N388">
        <v>93.02</v>
      </c>
      <c r="O388">
        <f t="shared" si="36"/>
        <v>93.02</v>
      </c>
      <c r="P388" t="str">
        <f t="shared" si="37"/>
        <v>Apr</v>
      </c>
      <c r="Q388" t="str">
        <f t="shared" si="38"/>
        <v>Q2</v>
      </c>
      <c r="R388" s="5" t="str">
        <f t="shared" si="39"/>
        <v>Small</v>
      </c>
      <c r="S388" s="5" t="str">
        <f t="shared" si="40"/>
        <v>Pending</v>
      </c>
      <c r="T388" s="5" t="str">
        <f t="shared" si="41"/>
        <v>Yes</v>
      </c>
    </row>
    <row r="389" spans="1:20"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c r="O389">
        <f t="shared" si="36"/>
        <v>79.06</v>
      </c>
      <c r="P389" t="str">
        <f t="shared" si="37"/>
        <v>Jun</v>
      </c>
      <c r="Q389" t="str">
        <f t="shared" si="38"/>
        <v>Q2</v>
      </c>
      <c r="R389" s="5" t="str">
        <f t="shared" si="39"/>
        <v>Small</v>
      </c>
      <c r="S389" s="5" t="str">
        <f t="shared" si="40"/>
        <v>Pending</v>
      </c>
      <c r="T389" s="5" t="str">
        <f t="shared" si="41"/>
        <v>Yes</v>
      </c>
    </row>
    <row r="390" spans="1:20"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c r="O390">
        <f t="shared" si="36"/>
        <v>1901.91</v>
      </c>
      <c r="P390" t="str">
        <f t="shared" si="37"/>
        <v>Dec</v>
      </c>
      <c r="Q390" t="str">
        <f t="shared" si="38"/>
        <v>Q4</v>
      </c>
      <c r="R390" s="5" t="str">
        <f t="shared" si="39"/>
        <v>Large</v>
      </c>
      <c r="S390" s="5" t="str">
        <f t="shared" si="40"/>
        <v>Pending</v>
      </c>
      <c r="T390" s="5" t="str">
        <f t="shared" si="41"/>
        <v>Yes</v>
      </c>
    </row>
    <row r="391" spans="1:20"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c r="O391">
        <f t="shared" si="36"/>
        <v>2790</v>
      </c>
      <c r="P391" t="str">
        <f t="shared" si="37"/>
        <v>Dec</v>
      </c>
      <c r="Q391" t="str">
        <f t="shared" si="38"/>
        <v>Q4</v>
      </c>
      <c r="R391" s="5" t="str">
        <f t="shared" si="39"/>
        <v>Large</v>
      </c>
      <c r="S391" s="5" t="str">
        <f t="shared" si="40"/>
        <v>Pending</v>
      </c>
      <c r="T391" s="5" t="str">
        <f t="shared" si="41"/>
        <v>Yes</v>
      </c>
    </row>
    <row r="392" spans="1:20"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c r="O392">
        <f t="shared" si="36"/>
        <v>2543.4499999999998</v>
      </c>
      <c r="P392" t="str">
        <f t="shared" si="37"/>
        <v>Jul</v>
      </c>
      <c r="Q392" t="str">
        <f t="shared" si="38"/>
        <v>Q3</v>
      </c>
      <c r="R392" s="5" t="str">
        <f t="shared" si="39"/>
        <v>Large</v>
      </c>
      <c r="S392" s="5" t="str">
        <f t="shared" si="40"/>
        <v>Completed</v>
      </c>
      <c r="T392" s="5" t="str">
        <f t="shared" si="41"/>
        <v>Yes</v>
      </c>
    </row>
    <row r="393" spans="1:20"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c r="O393">
        <f t="shared" si="36"/>
        <v>1054.92</v>
      </c>
      <c r="P393" t="str">
        <f t="shared" si="37"/>
        <v>Jan</v>
      </c>
      <c r="Q393" t="str">
        <f t="shared" si="38"/>
        <v>Q1</v>
      </c>
      <c r="R393" s="5" t="str">
        <f t="shared" si="39"/>
        <v>Large</v>
      </c>
      <c r="S393" s="5" t="str">
        <f t="shared" si="40"/>
        <v>Pending</v>
      </c>
      <c r="T393" s="5" t="str">
        <f t="shared" si="41"/>
        <v>Yes</v>
      </c>
    </row>
    <row r="394" spans="1:20"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c r="O394">
        <f t="shared" si="36"/>
        <v>627.20000000000005</v>
      </c>
      <c r="P394" t="str">
        <f t="shared" si="37"/>
        <v>Feb</v>
      </c>
      <c r="Q394" t="str">
        <f t="shared" si="38"/>
        <v>Q1</v>
      </c>
      <c r="R394" s="5" t="str">
        <f t="shared" si="39"/>
        <v>Large</v>
      </c>
      <c r="S394" s="5" t="str">
        <f t="shared" si="40"/>
        <v>Completed</v>
      </c>
      <c r="T394" s="5" t="str">
        <f t="shared" si="41"/>
        <v>Yes</v>
      </c>
    </row>
    <row r="395" spans="1:20" x14ac:dyDescent="0.35">
      <c r="A395" t="s">
        <v>407</v>
      </c>
      <c r="B395" s="2">
        <v>45487</v>
      </c>
      <c r="C395" t="s">
        <v>1607</v>
      </c>
      <c r="D395" t="s">
        <v>2407</v>
      </c>
      <c r="E395">
        <v>1</v>
      </c>
      <c r="F395">
        <v>75.010000000000005</v>
      </c>
      <c r="G395" t="s">
        <v>2728</v>
      </c>
      <c r="H395" t="s">
        <v>3067</v>
      </c>
      <c r="I395" t="s">
        <v>3072</v>
      </c>
      <c r="J395" t="s">
        <v>3468</v>
      </c>
      <c r="K395">
        <v>3</v>
      </c>
      <c r="L395" t="s">
        <v>4329</v>
      </c>
      <c r="M395" t="s">
        <v>4282</v>
      </c>
      <c r="N395">
        <v>75.010000000000005</v>
      </c>
      <c r="O395">
        <f t="shared" si="36"/>
        <v>75.010000000000005</v>
      </c>
      <c r="P395" t="str">
        <f t="shared" si="37"/>
        <v>Jul</v>
      </c>
      <c r="Q395" t="str">
        <f t="shared" si="38"/>
        <v>Q3</v>
      </c>
      <c r="R395" s="5" t="str">
        <f t="shared" si="39"/>
        <v>Small</v>
      </c>
      <c r="S395" s="5" t="str">
        <f t="shared" si="40"/>
        <v>Pending</v>
      </c>
      <c r="T395" s="5" t="str">
        <f t="shared" si="41"/>
        <v>Yes</v>
      </c>
    </row>
    <row r="396" spans="1:20" x14ac:dyDescent="0.35">
      <c r="A396" t="s">
        <v>408</v>
      </c>
      <c r="B396" s="2">
        <v>45112</v>
      </c>
      <c r="C396" t="s">
        <v>1608</v>
      </c>
      <c r="D396" t="s">
        <v>2409</v>
      </c>
      <c r="E396">
        <v>5</v>
      </c>
      <c r="F396">
        <v>529.54999999999995</v>
      </c>
      <c r="G396" t="s">
        <v>2729</v>
      </c>
      <c r="H396" t="s">
        <v>3068</v>
      </c>
      <c r="I396" t="s">
        <v>3070</v>
      </c>
      <c r="J396" t="s">
        <v>3469</v>
      </c>
      <c r="K396">
        <v>10</v>
      </c>
      <c r="L396" t="s">
        <v>4329</v>
      </c>
      <c r="M396" t="s">
        <v>4281</v>
      </c>
      <c r="N396">
        <v>2647.75</v>
      </c>
      <c r="O396">
        <f t="shared" si="36"/>
        <v>2647.75</v>
      </c>
      <c r="P396" t="str">
        <f t="shared" si="37"/>
        <v>Jul</v>
      </c>
      <c r="Q396" t="str">
        <f t="shared" si="38"/>
        <v>Q3</v>
      </c>
      <c r="R396" s="5" t="str">
        <f t="shared" si="39"/>
        <v>Large</v>
      </c>
      <c r="S396" s="5" t="str">
        <f t="shared" si="40"/>
        <v>Pending</v>
      </c>
      <c r="T396" s="5" t="str">
        <f t="shared" si="41"/>
        <v>Yes</v>
      </c>
    </row>
    <row r="397" spans="1:20"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c r="O397">
        <f t="shared" si="36"/>
        <v>382.23</v>
      </c>
      <c r="P397" t="str">
        <f t="shared" si="37"/>
        <v>Apr</v>
      </c>
      <c r="Q397" t="str">
        <f t="shared" si="38"/>
        <v>Q2</v>
      </c>
      <c r="R397" s="5" t="str">
        <f t="shared" si="39"/>
        <v>Medium</v>
      </c>
      <c r="S397" s="5" t="str">
        <f t="shared" si="40"/>
        <v>Completed</v>
      </c>
      <c r="T397" s="5" t="str">
        <f t="shared" si="41"/>
        <v>Yes</v>
      </c>
    </row>
    <row r="398" spans="1:20"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c r="O398">
        <f t="shared" si="36"/>
        <v>1435.65</v>
      </c>
      <c r="P398" t="str">
        <f t="shared" si="37"/>
        <v>Dec</v>
      </c>
      <c r="Q398" t="str">
        <f t="shared" si="38"/>
        <v>Q4</v>
      </c>
      <c r="R398" s="5" t="str">
        <f t="shared" si="39"/>
        <v>Large</v>
      </c>
      <c r="S398" s="5" t="str">
        <f t="shared" si="40"/>
        <v>Pending</v>
      </c>
      <c r="T398" s="5" t="str">
        <f t="shared" si="41"/>
        <v>Yes</v>
      </c>
    </row>
    <row r="399" spans="1:20"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c r="O399">
        <f t="shared" si="36"/>
        <v>427.06</v>
      </c>
      <c r="P399" t="str">
        <f t="shared" si="37"/>
        <v>Sep</v>
      </c>
      <c r="Q399" t="str">
        <f t="shared" si="38"/>
        <v>Q3</v>
      </c>
      <c r="R399" s="5" t="str">
        <f t="shared" si="39"/>
        <v>Medium</v>
      </c>
      <c r="S399" s="5" t="str">
        <f t="shared" si="40"/>
        <v>Pending</v>
      </c>
      <c r="T399" s="5" t="str">
        <f t="shared" si="41"/>
        <v>Yes</v>
      </c>
    </row>
    <row r="400" spans="1:20"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c r="O400">
        <f t="shared" si="36"/>
        <v>269.64999999999998</v>
      </c>
      <c r="P400" t="str">
        <f t="shared" si="37"/>
        <v>Sep</v>
      </c>
      <c r="Q400" t="str">
        <f t="shared" si="38"/>
        <v>Q3</v>
      </c>
      <c r="R400" s="5" t="str">
        <f t="shared" si="39"/>
        <v>Medium</v>
      </c>
      <c r="S400" s="5" t="str">
        <f t="shared" si="40"/>
        <v>Pending</v>
      </c>
      <c r="T400" s="5" t="str">
        <f t="shared" si="41"/>
        <v>Yes</v>
      </c>
    </row>
    <row r="401" spans="1:20"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c r="O401">
        <f t="shared" si="36"/>
        <v>2119.65</v>
      </c>
      <c r="P401" t="str">
        <f t="shared" si="37"/>
        <v>Jan</v>
      </c>
      <c r="Q401" t="str">
        <f t="shared" si="38"/>
        <v>Q1</v>
      </c>
      <c r="R401" s="5" t="str">
        <f t="shared" si="39"/>
        <v>Large</v>
      </c>
      <c r="S401" s="5" t="str">
        <f t="shared" si="40"/>
        <v>Pending</v>
      </c>
      <c r="T401" s="5" t="str">
        <f t="shared" si="41"/>
        <v>Yes</v>
      </c>
    </row>
    <row r="402" spans="1:20"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c r="O402">
        <f t="shared" si="36"/>
        <v>640.88</v>
      </c>
      <c r="P402" t="str">
        <f t="shared" si="37"/>
        <v>Sep</v>
      </c>
      <c r="Q402" t="str">
        <f t="shared" si="38"/>
        <v>Q3</v>
      </c>
      <c r="R402" s="5" t="str">
        <f t="shared" si="39"/>
        <v>Large</v>
      </c>
      <c r="S402" s="5" t="str">
        <f t="shared" si="40"/>
        <v>Pending</v>
      </c>
      <c r="T402" s="5" t="str">
        <f t="shared" si="41"/>
        <v>Yes</v>
      </c>
    </row>
    <row r="403" spans="1:20" x14ac:dyDescent="0.35">
      <c r="A403" t="s">
        <v>415</v>
      </c>
      <c r="B403" s="2">
        <v>45756</v>
      </c>
      <c r="C403" t="s">
        <v>1615</v>
      </c>
      <c r="D403" t="s">
        <v>2407</v>
      </c>
      <c r="E403">
        <v>1</v>
      </c>
      <c r="F403">
        <v>538.67999999999995</v>
      </c>
      <c r="G403" t="s">
        <v>2713</v>
      </c>
      <c r="H403" t="s">
        <v>3065</v>
      </c>
      <c r="I403" t="s">
        <v>3072</v>
      </c>
      <c r="J403" t="s">
        <v>3476</v>
      </c>
      <c r="K403">
        <v>6</v>
      </c>
      <c r="L403" t="s">
        <v>4329</v>
      </c>
      <c r="M403" t="s">
        <v>4279</v>
      </c>
      <c r="N403">
        <v>538.67999999999995</v>
      </c>
      <c r="O403">
        <f t="shared" si="36"/>
        <v>538.67999999999995</v>
      </c>
      <c r="P403" t="str">
        <f t="shared" si="37"/>
        <v>Apr</v>
      </c>
      <c r="Q403" t="str">
        <f t="shared" si="38"/>
        <v>Q2</v>
      </c>
      <c r="R403" s="5" t="str">
        <f t="shared" si="39"/>
        <v>Large</v>
      </c>
      <c r="S403" s="5" t="str">
        <f t="shared" si="40"/>
        <v>Pending</v>
      </c>
      <c r="T403" s="5" t="str">
        <f t="shared" si="41"/>
        <v>Yes</v>
      </c>
    </row>
    <row r="404" spans="1:20" x14ac:dyDescent="0.35">
      <c r="A404" t="s">
        <v>416</v>
      </c>
      <c r="B404" s="2">
        <v>45025</v>
      </c>
      <c r="C404" t="s">
        <v>1616</v>
      </c>
      <c r="D404" t="s">
        <v>2407</v>
      </c>
      <c r="E404">
        <v>5</v>
      </c>
      <c r="F404">
        <v>337.38</v>
      </c>
      <c r="G404" t="s">
        <v>2734</v>
      </c>
      <c r="H404" t="s">
        <v>3068</v>
      </c>
      <c r="I404" t="s">
        <v>3070</v>
      </c>
      <c r="J404" t="s">
        <v>3477</v>
      </c>
      <c r="K404">
        <v>5</v>
      </c>
      <c r="L404" t="s">
        <v>4329</v>
      </c>
      <c r="M404" t="s">
        <v>4279</v>
      </c>
      <c r="N404">
        <v>1686.9</v>
      </c>
      <c r="O404">
        <f t="shared" si="36"/>
        <v>1686.9</v>
      </c>
      <c r="P404" t="str">
        <f t="shared" si="37"/>
        <v>Apr</v>
      </c>
      <c r="Q404" t="str">
        <f t="shared" si="38"/>
        <v>Q2</v>
      </c>
      <c r="R404" s="5" t="str">
        <f t="shared" si="39"/>
        <v>Large</v>
      </c>
      <c r="S404" s="5" t="str">
        <f t="shared" si="40"/>
        <v>Pending</v>
      </c>
      <c r="T404" s="5" t="str">
        <f t="shared" si="41"/>
        <v>Yes</v>
      </c>
    </row>
    <row r="405" spans="1:20"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c r="O405">
        <f t="shared" si="36"/>
        <v>620.21</v>
      </c>
      <c r="P405" t="str">
        <f t="shared" si="37"/>
        <v>Nov</v>
      </c>
      <c r="Q405" t="str">
        <f t="shared" si="38"/>
        <v>Q4</v>
      </c>
      <c r="R405" s="5" t="str">
        <f t="shared" si="39"/>
        <v>Large</v>
      </c>
      <c r="S405" s="5" t="str">
        <f t="shared" si="40"/>
        <v>Pending</v>
      </c>
      <c r="T405" s="5" t="str">
        <f t="shared" si="41"/>
        <v>Yes</v>
      </c>
    </row>
    <row r="406" spans="1:20" x14ac:dyDescent="0.35">
      <c r="A406" t="s">
        <v>418</v>
      </c>
      <c r="B406" s="2">
        <v>44994</v>
      </c>
      <c r="C406" t="s">
        <v>1618</v>
      </c>
      <c r="D406" t="s">
        <v>2403</v>
      </c>
      <c r="E406">
        <v>2</v>
      </c>
      <c r="F406">
        <v>99.1</v>
      </c>
      <c r="G406" t="s">
        <v>2473</v>
      </c>
      <c r="H406" t="s">
        <v>3069</v>
      </c>
      <c r="I406" t="s">
        <v>3073</v>
      </c>
      <c r="J406" t="s">
        <v>3479</v>
      </c>
      <c r="K406">
        <v>6</v>
      </c>
      <c r="L406" t="s">
        <v>4329</v>
      </c>
      <c r="M406" t="s">
        <v>4278</v>
      </c>
      <c r="N406">
        <v>198.2</v>
      </c>
      <c r="O406">
        <f t="shared" si="36"/>
        <v>198.2</v>
      </c>
      <c r="P406" t="str">
        <f t="shared" si="37"/>
        <v>Mar</v>
      </c>
      <c r="Q406" t="str">
        <f t="shared" si="38"/>
        <v>Q1</v>
      </c>
      <c r="R406" s="5" t="str">
        <f t="shared" si="39"/>
        <v>Medium</v>
      </c>
      <c r="S406" s="5" t="str">
        <f t="shared" si="40"/>
        <v>Completed</v>
      </c>
      <c r="T406" s="5" t="str">
        <f t="shared" si="41"/>
        <v>Yes</v>
      </c>
    </row>
    <row r="407" spans="1:20"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c r="O407">
        <f t="shared" si="36"/>
        <v>1807.88</v>
      </c>
      <c r="P407" t="str">
        <f t="shared" si="37"/>
        <v>Jan</v>
      </c>
      <c r="Q407" t="str">
        <f t="shared" si="38"/>
        <v>Q1</v>
      </c>
      <c r="R407" s="5" t="str">
        <f t="shared" si="39"/>
        <v>Large</v>
      </c>
      <c r="S407" s="5" t="str">
        <f t="shared" si="40"/>
        <v>Pending</v>
      </c>
      <c r="T407" s="5" t="str">
        <f t="shared" si="41"/>
        <v>Yes</v>
      </c>
    </row>
    <row r="408" spans="1:20"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c r="O408">
        <f t="shared" si="36"/>
        <v>264.39999999999998</v>
      </c>
      <c r="P408" t="str">
        <f t="shared" si="37"/>
        <v>Dec</v>
      </c>
      <c r="Q408" t="str">
        <f t="shared" si="38"/>
        <v>Q4</v>
      </c>
      <c r="R408" s="5" t="str">
        <f t="shared" si="39"/>
        <v>Medium</v>
      </c>
      <c r="S408" s="5" t="str">
        <f t="shared" si="40"/>
        <v>Pending</v>
      </c>
      <c r="T408" s="5" t="str">
        <f t="shared" si="41"/>
        <v>Yes</v>
      </c>
    </row>
    <row r="409" spans="1:20"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c r="O409">
        <f t="shared" si="36"/>
        <v>2189.2800000000002</v>
      </c>
      <c r="P409" t="str">
        <f t="shared" si="37"/>
        <v>Aug</v>
      </c>
      <c r="Q409" t="str">
        <f t="shared" si="38"/>
        <v>Q3</v>
      </c>
      <c r="R409" s="5" t="str">
        <f t="shared" si="39"/>
        <v>Large</v>
      </c>
      <c r="S409" s="5" t="str">
        <f t="shared" si="40"/>
        <v>Pending</v>
      </c>
      <c r="T409" s="5" t="str">
        <f t="shared" si="41"/>
        <v>Yes</v>
      </c>
    </row>
    <row r="410" spans="1:20"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c r="O410">
        <f t="shared" si="36"/>
        <v>1237.5899999999999</v>
      </c>
      <c r="P410" t="str">
        <f t="shared" si="37"/>
        <v>Jan</v>
      </c>
      <c r="Q410" t="str">
        <f t="shared" si="38"/>
        <v>Q1</v>
      </c>
      <c r="R410" s="5" t="str">
        <f t="shared" si="39"/>
        <v>Large</v>
      </c>
      <c r="S410" s="5" t="str">
        <f t="shared" si="40"/>
        <v>Pending</v>
      </c>
      <c r="T410" s="5" t="str">
        <f t="shared" si="41"/>
        <v>Yes</v>
      </c>
    </row>
    <row r="411" spans="1:20"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c r="O411">
        <f t="shared" si="36"/>
        <v>420.65</v>
      </c>
      <c r="P411" t="str">
        <f t="shared" si="37"/>
        <v>Jun</v>
      </c>
      <c r="Q411" t="str">
        <f t="shared" si="38"/>
        <v>Q2</v>
      </c>
      <c r="R411" s="5" t="str">
        <f t="shared" si="39"/>
        <v>Medium</v>
      </c>
      <c r="S411" s="5" t="str">
        <f t="shared" si="40"/>
        <v>Completed</v>
      </c>
      <c r="T411" s="5" t="str">
        <f t="shared" si="41"/>
        <v>Yes</v>
      </c>
    </row>
    <row r="412" spans="1:20" x14ac:dyDescent="0.35">
      <c r="A412" t="s">
        <v>424</v>
      </c>
      <c r="B412" s="2">
        <v>45309</v>
      </c>
      <c r="C412" t="s">
        <v>1624</v>
      </c>
      <c r="D412" t="s">
        <v>2405</v>
      </c>
      <c r="E412">
        <v>2</v>
      </c>
      <c r="F412">
        <v>518.23</v>
      </c>
      <c r="G412" t="s">
        <v>2737</v>
      </c>
      <c r="H412" t="s">
        <v>3065</v>
      </c>
      <c r="I412" t="s">
        <v>3070</v>
      </c>
      <c r="J412" t="s">
        <v>3485</v>
      </c>
      <c r="K412">
        <v>5</v>
      </c>
      <c r="L412" t="s">
        <v>4329</v>
      </c>
      <c r="M412" t="s">
        <v>4280</v>
      </c>
      <c r="N412">
        <v>1036.46</v>
      </c>
      <c r="O412">
        <f t="shared" si="36"/>
        <v>1036.46</v>
      </c>
      <c r="P412" t="str">
        <f t="shared" si="37"/>
        <v>Jan</v>
      </c>
      <c r="Q412" t="str">
        <f t="shared" si="38"/>
        <v>Q1</v>
      </c>
      <c r="R412" s="5" t="str">
        <f t="shared" si="39"/>
        <v>Large</v>
      </c>
      <c r="S412" s="5" t="str">
        <f t="shared" si="40"/>
        <v>Pending</v>
      </c>
      <c r="T412" s="5" t="str">
        <f t="shared" si="41"/>
        <v>Yes</v>
      </c>
    </row>
    <row r="413" spans="1:20" x14ac:dyDescent="0.35">
      <c r="A413" t="s">
        <v>425</v>
      </c>
      <c r="B413" s="2">
        <v>45462</v>
      </c>
      <c r="C413" t="s">
        <v>1625</v>
      </c>
      <c r="D413" t="s">
        <v>2409</v>
      </c>
      <c r="E413">
        <v>2</v>
      </c>
      <c r="F413">
        <v>39.51</v>
      </c>
      <c r="G413" t="s">
        <v>2549</v>
      </c>
      <c r="H413" t="s">
        <v>3066</v>
      </c>
      <c r="I413" t="s">
        <v>3070</v>
      </c>
      <c r="J413" t="s">
        <v>3486</v>
      </c>
      <c r="K413">
        <v>5</v>
      </c>
      <c r="L413" t="s">
        <v>4329</v>
      </c>
      <c r="M413" t="s">
        <v>4281</v>
      </c>
      <c r="N413">
        <v>79.02</v>
      </c>
      <c r="O413">
        <f t="shared" si="36"/>
        <v>79.02</v>
      </c>
      <c r="P413" t="str">
        <f t="shared" si="37"/>
        <v>Jun</v>
      </c>
      <c r="Q413" t="str">
        <f t="shared" si="38"/>
        <v>Q2</v>
      </c>
      <c r="R413" s="5" t="str">
        <f t="shared" si="39"/>
        <v>Small</v>
      </c>
      <c r="S413" s="5" t="str">
        <f t="shared" si="40"/>
        <v>Pending</v>
      </c>
      <c r="T413" s="5" t="str">
        <f t="shared" si="41"/>
        <v>Yes</v>
      </c>
    </row>
    <row r="414" spans="1:20" x14ac:dyDescent="0.35">
      <c r="A414" t="s">
        <v>426</v>
      </c>
      <c r="B414" s="2">
        <v>45758</v>
      </c>
      <c r="C414" t="s">
        <v>1626</v>
      </c>
      <c r="D414" t="s">
        <v>2405</v>
      </c>
      <c r="E414">
        <v>5</v>
      </c>
      <c r="F414">
        <v>133.01</v>
      </c>
      <c r="G414" t="s">
        <v>2738</v>
      </c>
      <c r="H414" t="s">
        <v>3067</v>
      </c>
      <c r="I414" t="s">
        <v>3072</v>
      </c>
      <c r="J414" t="s">
        <v>3487</v>
      </c>
      <c r="K414">
        <v>10</v>
      </c>
      <c r="L414" t="s">
        <v>4329</v>
      </c>
      <c r="M414" t="s">
        <v>4281</v>
      </c>
      <c r="N414">
        <v>665.05</v>
      </c>
      <c r="O414">
        <f t="shared" si="36"/>
        <v>665.05</v>
      </c>
      <c r="P414" t="str">
        <f t="shared" si="37"/>
        <v>Apr</v>
      </c>
      <c r="Q414" t="str">
        <f t="shared" si="38"/>
        <v>Q2</v>
      </c>
      <c r="R414" s="5" t="str">
        <f t="shared" si="39"/>
        <v>Large</v>
      </c>
      <c r="S414" s="5" t="str">
        <f t="shared" si="40"/>
        <v>Pending</v>
      </c>
      <c r="T414" s="5" t="str">
        <f t="shared" si="41"/>
        <v>Yes</v>
      </c>
    </row>
    <row r="415" spans="1:20"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c r="O415">
        <f t="shared" si="36"/>
        <v>118.8</v>
      </c>
      <c r="P415" t="str">
        <f t="shared" si="37"/>
        <v>Oct</v>
      </c>
      <c r="Q415" t="str">
        <f t="shared" si="38"/>
        <v>Q4</v>
      </c>
      <c r="R415" s="5" t="str">
        <f t="shared" si="39"/>
        <v>Medium</v>
      </c>
      <c r="S415" s="5" t="str">
        <f t="shared" si="40"/>
        <v>Completed</v>
      </c>
      <c r="T415" s="5" t="str">
        <f t="shared" si="41"/>
        <v>Yes</v>
      </c>
    </row>
    <row r="416" spans="1:20"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c r="O416">
        <f t="shared" si="36"/>
        <v>279.14</v>
      </c>
      <c r="P416" t="str">
        <f t="shared" si="37"/>
        <v>May</v>
      </c>
      <c r="Q416" t="str">
        <f t="shared" si="38"/>
        <v>Q2</v>
      </c>
      <c r="R416" s="5" t="str">
        <f t="shared" si="39"/>
        <v>Medium</v>
      </c>
      <c r="S416" s="5" t="str">
        <f t="shared" si="40"/>
        <v>Completed</v>
      </c>
      <c r="T416" s="5" t="str">
        <f t="shared" si="41"/>
        <v>Yes</v>
      </c>
    </row>
    <row r="417" spans="1:20"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c r="O417">
        <f t="shared" si="36"/>
        <v>184.15</v>
      </c>
      <c r="P417" t="str">
        <f t="shared" si="37"/>
        <v>Apr</v>
      </c>
      <c r="Q417" t="str">
        <f t="shared" si="38"/>
        <v>Q2</v>
      </c>
      <c r="R417" s="5" t="str">
        <f t="shared" si="39"/>
        <v>Medium</v>
      </c>
      <c r="S417" s="5" t="str">
        <f t="shared" si="40"/>
        <v>Pending</v>
      </c>
      <c r="T417" s="5" t="str">
        <f t="shared" si="41"/>
        <v>Yes</v>
      </c>
    </row>
    <row r="418" spans="1:20"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c r="O418">
        <f t="shared" si="36"/>
        <v>1288.0999999999999</v>
      </c>
      <c r="P418" t="str">
        <f t="shared" si="37"/>
        <v>Jul</v>
      </c>
      <c r="Q418" t="str">
        <f t="shared" si="38"/>
        <v>Q3</v>
      </c>
      <c r="R418" s="5" t="str">
        <f t="shared" si="39"/>
        <v>Large</v>
      </c>
      <c r="S418" s="5" t="str">
        <f t="shared" si="40"/>
        <v>Pending</v>
      </c>
      <c r="T418" s="5" t="str">
        <f t="shared" si="41"/>
        <v>Yes</v>
      </c>
    </row>
    <row r="419" spans="1:20" x14ac:dyDescent="0.35">
      <c r="A419" t="s">
        <v>431</v>
      </c>
      <c r="B419" s="2">
        <v>45223</v>
      </c>
      <c r="C419" t="s">
        <v>1631</v>
      </c>
      <c r="D419" t="s">
        <v>2408</v>
      </c>
      <c r="E419">
        <v>5</v>
      </c>
      <c r="F419">
        <v>55.41</v>
      </c>
      <c r="G419" t="s">
        <v>2742</v>
      </c>
      <c r="H419" t="s">
        <v>3066</v>
      </c>
      <c r="I419" t="s">
        <v>3071</v>
      </c>
      <c r="J419" t="s">
        <v>3492</v>
      </c>
      <c r="K419">
        <v>5</v>
      </c>
      <c r="L419" t="s">
        <v>4329</v>
      </c>
      <c r="M419" t="s">
        <v>4282</v>
      </c>
      <c r="N419">
        <v>277.05</v>
      </c>
      <c r="O419">
        <f t="shared" si="36"/>
        <v>277.04999999999995</v>
      </c>
      <c r="P419" t="str">
        <f t="shared" si="37"/>
        <v>Oct</v>
      </c>
      <c r="Q419" t="str">
        <f t="shared" si="38"/>
        <v>Q4</v>
      </c>
      <c r="R419" s="5" t="str">
        <f t="shared" si="39"/>
        <v>Medium</v>
      </c>
      <c r="S419" s="5" t="str">
        <f t="shared" si="40"/>
        <v>Pending</v>
      </c>
      <c r="T419" s="5" t="str">
        <f t="shared" si="41"/>
        <v>Yes</v>
      </c>
    </row>
    <row r="420" spans="1:20" x14ac:dyDescent="0.35">
      <c r="A420" t="s">
        <v>432</v>
      </c>
      <c r="B420" s="2">
        <v>44937</v>
      </c>
      <c r="C420" t="s">
        <v>1632</v>
      </c>
      <c r="D420" t="s">
        <v>2407</v>
      </c>
      <c r="E420">
        <v>1</v>
      </c>
      <c r="F420">
        <v>310.93</v>
      </c>
      <c r="G420" t="s">
        <v>2743</v>
      </c>
      <c r="H420" t="s">
        <v>3066</v>
      </c>
      <c r="I420" t="s">
        <v>3071</v>
      </c>
      <c r="J420" t="s">
        <v>3493</v>
      </c>
      <c r="K420">
        <v>3</v>
      </c>
      <c r="L420" t="s">
        <v>4329</v>
      </c>
      <c r="M420" t="s">
        <v>4281</v>
      </c>
      <c r="N420">
        <v>310.93</v>
      </c>
      <c r="O420">
        <f t="shared" si="36"/>
        <v>310.93</v>
      </c>
      <c r="P420" t="str">
        <f t="shared" si="37"/>
        <v>Jan</v>
      </c>
      <c r="Q420" t="str">
        <f t="shared" si="38"/>
        <v>Q1</v>
      </c>
      <c r="R420" s="5" t="str">
        <f t="shared" si="39"/>
        <v>Medium</v>
      </c>
      <c r="S420" s="5" t="str">
        <f t="shared" si="40"/>
        <v>Pending</v>
      </c>
      <c r="T420" s="5" t="str">
        <f t="shared" si="41"/>
        <v>Yes</v>
      </c>
    </row>
    <row r="421" spans="1:20"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c r="O421">
        <f t="shared" si="36"/>
        <v>433.32</v>
      </c>
      <c r="P421" t="str">
        <f t="shared" si="37"/>
        <v>Apr</v>
      </c>
      <c r="Q421" t="str">
        <f t="shared" si="38"/>
        <v>Q2</v>
      </c>
      <c r="R421" s="5" t="str">
        <f t="shared" si="39"/>
        <v>Medium</v>
      </c>
      <c r="S421" s="5" t="str">
        <f t="shared" si="40"/>
        <v>Pending</v>
      </c>
      <c r="T421" s="5" t="str">
        <f t="shared" si="41"/>
        <v>Yes</v>
      </c>
    </row>
    <row r="422" spans="1:20"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c r="O422">
        <f t="shared" si="36"/>
        <v>452.7</v>
      </c>
      <c r="P422" t="str">
        <f t="shared" si="37"/>
        <v>Nov</v>
      </c>
      <c r="Q422" t="str">
        <f t="shared" si="38"/>
        <v>Q4</v>
      </c>
      <c r="R422" s="5" t="str">
        <f t="shared" si="39"/>
        <v>Medium</v>
      </c>
      <c r="S422" s="5" t="str">
        <f t="shared" si="40"/>
        <v>Pending</v>
      </c>
      <c r="T422" s="5" t="str">
        <f t="shared" si="41"/>
        <v>Yes</v>
      </c>
    </row>
    <row r="423" spans="1:20" x14ac:dyDescent="0.35">
      <c r="A423" t="s">
        <v>435</v>
      </c>
      <c r="B423" s="2">
        <v>45214</v>
      </c>
      <c r="C423" t="s">
        <v>1635</v>
      </c>
      <c r="D423" t="s">
        <v>2406</v>
      </c>
      <c r="E423">
        <v>2</v>
      </c>
      <c r="F423">
        <v>288.20999999999998</v>
      </c>
      <c r="G423" t="s">
        <v>2745</v>
      </c>
      <c r="H423" t="s">
        <v>3065</v>
      </c>
      <c r="I423" t="s">
        <v>3071</v>
      </c>
      <c r="J423" t="s">
        <v>3496</v>
      </c>
      <c r="K423">
        <v>5</v>
      </c>
      <c r="L423" t="s">
        <v>4329</v>
      </c>
      <c r="M423" t="s">
        <v>4280</v>
      </c>
      <c r="N423">
        <v>576.41999999999996</v>
      </c>
      <c r="O423">
        <f t="shared" si="36"/>
        <v>576.41999999999996</v>
      </c>
      <c r="P423" t="str">
        <f t="shared" si="37"/>
        <v>Oct</v>
      </c>
      <c r="Q423" t="str">
        <f t="shared" si="38"/>
        <v>Q4</v>
      </c>
      <c r="R423" s="5" t="str">
        <f t="shared" si="39"/>
        <v>Large</v>
      </c>
      <c r="S423" s="5" t="str">
        <f t="shared" si="40"/>
        <v>Pending</v>
      </c>
      <c r="T423" s="5" t="str">
        <f t="shared" si="41"/>
        <v>Yes</v>
      </c>
    </row>
    <row r="424" spans="1:20"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c r="O424">
        <f t="shared" si="36"/>
        <v>826.4</v>
      </c>
      <c r="P424" t="str">
        <f t="shared" si="37"/>
        <v>Jun</v>
      </c>
      <c r="Q424" t="str">
        <f t="shared" si="38"/>
        <v>Q2</v>
      </c>
      <c r="R424" s="5" t="str">
        <f t="shared" si="39"/>
        <v>Large</v>
      </c>
      <c r="S424" s="5" t="str">
        <f t="shared" si="40"/>
        <v>Pending</v>
      </c>
      <c r="T424" s="5" t="str">
        <f t="shared" si="41"/>
        <v>Yes</v>
      </c>
    </row>
    <row r="425" spans="1:20"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c r="O425">
        <f t="shared" si="36"/>
        <v>2740.8</v>
      </c>
      <c r="P425" t="str">
        <f t="shared" si="37"/>
        <v>Jul</v>
      </c>
      <c r="Q425" t="str">
        <f t="shared" si="38"/>
        <v>Q3</v>
      </c>
      <c r="R425" s="5" t="str">
        <f t="shared" si="39"/>
        <v>Large</v>
      </c>
      <c r="S425" s="5" t="str">
        <f t="shared" si="40"/>
        <v>Pending</v>
      </c>
      <c r="T425" s="5" t="str">
        <f t="shared" si="41"/>
        <v>Yes</v>
      </c>
    </row>
    <row r="426" spans="1:20" x14ac:dyDescent="0.35">
      <c r="A426" t="s">
        <v>438</v>
      </c>
      <c r="B426" s="2">
        <v>45028</v>
      </c>
      <c r="C426" t="s">
        <v>1638</v>
      </c>
      <c r="D426" t="s">
        <v>2406</v>
      </c>
      <c r="E426">
        <v>5</v>
      </c>
      <c r="F426">
        <v>22.94</v>
      </c>
      <c r="G426" t="s">
        <v>2678</v>
      </c>
      <c r="H426" t="s">
        <v>3069</v>
      </c>
      <c r="I426" t="s">
        <v>3074</v>
      </c>
      <c r="J426" t="s">
        <v>3499</v>
      </c>
      <c r="K426">
        <v>10</v>
      </c>
      <c r="L426" t="s">
        <v>4329</v>
      </c>
      <c r="M426" t="s">
        <v>4280</v>
      </c>
      <c r="N426">
        <v>114.7</v>
      </c>
      <c r="O426">
        <f t="shared" si="36"/>
        <v>114.7</v>
      </c>
      <c r="P426" t="str">
        <f t="shared" si="37"/>
        <v>Apr</v>
      </c>
      <c r="Q426" t="str">
        <f t="shared" si="38"/>
        <v>Q2</v>
      </c>
      <c r="R426" s="5" t="str">
        <f t="shared" si="39"/>
        <v>Medium</v>
      </c>
      <c r="S426" s="5" t="str">
        <f t="shared" si="40"/>
        <v>Pending</v>
      </c>
      <c r="T426" s="5" t="str">
        <f t="shared" si="41"/>
        <v>Yes</v>
      </c>
    </row>
    <row r="427" spans="1:20"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c r="O427">
        <f t="shared" si="36"/>
        <v>603.76</v>
      </c>
      <c r="P427" t="str">
        <f t="shared" si="37"/>
        <v>Mar</v>
      </c>
      <c r="Q427" t="str">
        <f t="shared" si="38"/>
        <v>Q1</v>
      </c>
      <c r="R427" s="5" t="str">
        <f t="shared" si="39"/>
        <v>Large</v>
      </c>
      <c r="S427" s="5" t="str">
        <f t="shared" si="40"/>
        <v>Pending</v>
      </c>
      <c r="T427" s="5" t="str">
        <f t="shared" si="41"/>
        <v>Yes</v>
      </c>
    </row>
    <row r="428" spans="1:20" x14ac:dyDescent="0.35">
      <c r="A428" t="s">
        <v>440</v>
      </c>
      <c r="B428" s="2">
        <v>45732</v>
      </c>
      <c r="C428" t="s">
        <v>1640</v>
      </c>
      <c r="D428" t="s">
        <v>2403</v>
      </c>
      <c r="E428">
        <v>5</v>
      </c>
      <c r="F428">
        <v>57.45</v>
      </c>
      <c r="G428" t="s">
        <v>2747</v>
      </c>
      <c r="H428" t="s">
        <v>3069</v>
      </c>
      <c r="I428" t="s">
        <v>3071</v>
      </c>
      <c r="J428" t="s">
        <v>3501</v>
      </c>
      <c r="K428">
        <v>10</v>
      </c>
      <c r="L428" t="s">
        <v>4329</v>
      </c>
      <c r="M428" t="s">
        <v>4281</v>
      </c>
      <c r="N428">
        <v>287.25</v>
      </c>
      <c r="O428">
        <f t="shared" si="36"/>
        <v>287.25</v>
      </c>
      <c r="P428" t="str">
        <f t="shared" si="37"/>
        <v>Mar</v>
      </c>
      <c r="Q428" t="str">
        <f t="shared" si="38"/>
        <v>Q1</v>
      </c>
      <c r="R428" s="5" t="str">
        <f t="shared" si="39"/>
        <v>Medium</v>
      </c>
      <c r="S428" s="5" t="str">
        <f t="shared" si="40"/>
        <v>Pending</v>
      </c>
      <c r="T428" s="5" t="str">
        <f t="shared" si="41"/>
        <v>Yes</v>
      </c>
    </row>
    <row r="429" spans="1:20"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c r="O429">
        <f t="shared" si="36"/>
        <v>161.24</v>
      </c>
      <c r="P429" t="str">
        <f t="shared" si="37"/>
        <v>Dec</v>
      </c>
      <c r="Q429" t="str">
        <f t="shared" si="38"/>
        <v>Q4</v>
      </c>
      <c r="R429" s="5" t="str">
        <f t="shared" si="39"/>
        <v>Medium</v>
      </c>
      <c r="S429" s="5" t="str">
        <f t="shared" si="40"/>
        <v>Pending</v>
      </c>
      <c r="T429" s="5" t="str">
        <f t="shared" si="41"/>
        <v>Yes</v>
      </c>
    </row>
    <row r="430" spans="1:20"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c r="O430">
        <f t="shared" si="36"/>
        <v>1050.32</v>
      </c>
      <c r="P430" t="str">
        <f t="shared" si="37"/>
        <v>Nov</v>
      </c>
      <c r="Q430" t="str">
        <f t="shared" si="38"/>
        <v>Q4</v>
      </c>
      <c r="R430" s="5" t="str">
        <f t="shared" si="39"/>
        <v>Large</v>
      </c>
      <c r="S430" s="5" t="str">
        <f t="shared" si="40"/>
        <v>Pending</v>
      </c>
      <c r="T430" s="5" t="str">
        <f t="shared" si="41"/>
        <v>Yes</v>
      </c>
    </row>
    <row r="431" spans="1:20"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c r="O431">
        <f t="shared" si="36"/>
        <v>2060.7600000000002</v>
      </c>
      <c r="P431" t="str">
        <f t="shared" si="37"/>
        <v>Dec</v>
      </c>
      <c r="Q431" t="str">
        <f t="shared" si="38"/>
        <v>Q4</v>
      </c>
      <c r="R431" s="5" t="str">
        <f t="shared" si="39"/>
        <v>Large</v>
      </c>
      <c r="S431" s="5" t="str">
        <f t="shared" si="40"/>
        <v>Pending</v>
      </c>
      <c r="T431" s="5" t="str">
        <f t="shared" si="41"/>
        <v>Yes</v>
      </c>
    </row>
    <row r="432" spans="1:20"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c r="O432">
        <f t="shared" si="36"/>
        <v>450.07</v>
      </c>
      <c r="P432" t="str">
        <f t="shared" si="37"/>
        <v>Jun</v>
      </c>
      <c r="Q432" t="str">
        <f t="shared" si="38"/>
        <v>Q2</v>
      </c>
      <c r="R432" s="5" t="str">
        <f t="shared" si="39"/>
        <v>Medium</v>
      </c>
      <c r="S432" s="5" t="str">
        <f t="shared" si="40"/>
        <v>Pending</v>
      </c>
      <c r="T432" s="5" t="str">
        <f t="shared" si="41"/>
        <v>Yes</v>
      </c>
    </row>
    <row r="433" spans="1:20"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c r="O433">
        <f t="shared" si="36"/>
        <v>52.54</v>
      </c>
      <c r="P433" t="str">
        <f t="shared" si="37"/>
        <v>Oct</v>
      </c>
      <c r="Q433" t="str">
        <f t="shared" si="38"/>
        <v>Q4</v>
      </c>
      <c r="R433" s="5" t="str">
        <f t="shared" si="39"/>
        <v>Small</v>
      </c>
      <c r="S433" s="5" t="str">
        <f t="shared" si="40"/>
        <v>Pending</v>
      </c>
      <c r="T433" s="5" t="str">
        <f t="shared" si="41"/>
        <v>Yes</v>
      </c>
    </row>
    <row r="434" spans="1:20" x14ac:dyDescent="0.35">
      <c r="A434" t="s">
        <v>446</v>
      </c>
      <c r="B434" s="2">
        <v>45173</v>
      </c>
      <c r="C434" t="s">
        <v>1646</v>
      </c>
      <c r="D434" t="s">
        <v>2405</v>
      </c>
      <c r="E434">
        <v>2</v>
      </c>
      <c r="F434">
        <v>424.32</v>
      </c>
      <c r="G434" t="s">
        <v>2750</v>
      </c>
      <c r="H434" t="s">
        <v>3067</v>
      </c>
      <c r="I434" t="s">
        <v>3072</v>
      </c>
      <c r="J434" t="s">
        <v>3507</v>
      </c>
      <c r="K434">
        <v>6</v>
      </c>
      <c r="L434" t="s">
        <v>4329</v>
      </c>
      <c r="M434" t="s">
        <v>4279</v>
      </c>
      <c r="N434">
        <v>848.64</v>
      </c>
      <c r="O434">
        <f t="shared" si="36"/>
        <v>848.64</v>
      </c>
      <c r="P434" t="str">
        <f t="shared" si="37"/>
        <v>Sep</v>
      </c>
      <c r="Q434" t="str">
        <f t="shared" si="38"/>
        <v>Q3</v>
      </c>
      <c r="R434" s="5" t="str">
        <f t="shared" si="39"/>
        <v>Large</v>
      </c>
      <c r="S434" s="5" t="str">
        <f t="shared" si="40"/>
        <v>Pending</v>
      </c>
      <c r="T434" s="5" t="str">
        <f t="shared" si="41"/>
        <v>Yes</v>
      </c>
    </row>
    <row r="435" spans="1:20"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c r="O435">
        <f t="shared" si="36"/>
        <v>1894.92</v>
      </c>
      <c r="P435" t="str">
        <f t="shared" si="37"/>
        <v>Aug</v>
      </c>
      <c r="Q435" t="str">
        <f t="shared" si="38"/>
        <v>Q3</v>
      </c>
      <c r="R435" s="5" t="str">
        <f t="shared" si="39"/>
        <v>Large</v>
      </c>
      <c r="S435" s="5" t="str">
        <f t="shared" si="40"/>
        <v>Pending</v>
      </c>
      <c r="T435" s="5" t="str">
        <f t="shared" si="41"/>
        <v>Yes</v>
      </c>
    </row>
    <row r="436" spans="1:20" x14ac:dyDescent="0.35">
      <c r="A436" t="s">
        <v>448</v>
      </c>
      <c r="B436" s="2">
        <v>45221</v>
      </c>
      <c r="C436" t="s">
        <v>1648</v>
      </c>
      <c r="D436" t="s">
        <v>2407</v>
      </c>
      <c r="E436">
        <v>5</v>
      </c>
      <c r="F436">
        <v>327.68</v>
      </c>
      <c r="G436" t="s">
        <v>2475</v>
      </c>
      <c r="H436" t="s">
        <v>3067</v>
      </c>
      <c r="I436" t="s">
        <v>3072</v>
      </c>
      <c r="J436" t="s">
        <v>3509</v>
      </c>
      <c r="K436">
        <v>6</v>
      </c>
      <c r="L436" t="s">
        <v>4329</v>
      </c>
      <c r="M436" t="s">
        <v>4281</v>
      </c>
      <c r="N436">
        <v>1638.4</v>
      </c>
      <c r="O436">
        <f t="shared" si="36"/>
        <v>1638.4</v>
      </c>
      <c r="P436" t="str">
        <f t="shared" si="37"/>
        <v>Oct</v>
      </c>
      <c r="Q436" t="str">
        <f t="shared" si="38"/>
        <v>Q4</v>
      </c>
      <c r="R436" s="5" t="str">
        <f t="shared" si="39"/>
        <v>Large</v>
      </c>
      <c r="S436" s="5" t="str">
        <f t="shared" si="40"/>
        <v>Pending</v>
      </c>
      <c r="T436" s="5" t="str">
        <f t="shared" si="41"/>
        <v>Yes</v>
      </c>
    </row>
    <row r="437" spans="1:20"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c r="O437">
        <f t="shared" si="36"/>
        <v>414.47</v>
      </c>
      <c r="P437" t="str">
        <f t="shared" si="37"/>
        <v>May</v>
      </c>
      <c r="Q437" t="str">
        <f t="shared" si="38"/>
        <v>Q2</v>
      </c>
      <c r="R437" s="5" t="str">
        <f t="shared" si="39"/>
        <v>Medium</v>
      </c>
      <c r="S437" s="5" t="str">
        <f t="shared" si="40"/>
        <v>Pending</v>
      </c>
      <c r="T437" s="5" t="str">
        <f t="shared" si="41"/>
        <v>Yes</v>
      </c>
    </row>
    <row r="438" spans="1:20" x14ac:dyDescent="0.35">
      <c r="A438" t="s">
        <v>450</v>
      </c>
      <c r="B438" s="2">
        <v>44968</v>
      </c>
      <c r="C438" t="s">
        <v>1650</v>
      </c>
      <c r="D438" t="s">
        <v>2408</v>
      </c>
      <c r="E438">
        <v>4</v>
      </c>
      <c r="F438">
        <v>221.33</v>
      </c>
      <c r="G438" t="s">
        <v>2553</v>
      </c>
      <c r="H438" t="s">
        <v>3066</v>
      </c>
      <c r="I438" t="s">
        <v>3074</v>
      </c>
      <c r="J438" t="s">
        <v>3511</v>
      </c>
      <c r="K438">
        <v>5</v>
      </c>
      <c r="L438" t="s">
        <v>4329</v>
      </c>
      <c r="M438" t="s">
        <v>4282</v>
      </c>
      <c r="N438">
        <v>885.32</v>
      </c>
      <c r="O438">
        <f t="shared" si="36"/>
        <v>885.32</v>
      </c>
      <c r="P438" t="str">
        <f t="shared" si="37"/>
        <v>Feb</v>
      </c>
      <c r="Q438" t="str">
        <f t="shared" si="38"/>
        <v>Q1</v>
      </c>
      <c r="R438" s="5" t="str">
        <f t="shared" si="39"/>
        <v>Large</v>
      </c>
      <c r="S438" s="5" t="str">
        <f t="shared" si="40"/>
        <v>Pending</v>
      </c>
      <c r="T438" s="5" t="str">
        <f t="shared" si="41"/>
        <v>Yes</v>
      </c>
    </row>
    <row r="439" spans="1:20"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c r="O439">
        <f t="shared" si="36"/>
        <v>512.39</v>
      </c>
      <c r="P439" t="str">
        <f t="shared" si="37"/>
        <v>Apr</v>
      </c>
      <c r="Q439" t="str">
        <f t="shared" si="38"/>
        <v>Q2</v>
      </c>
      <c r="R439" s="5" t="str">
        <f t="shared" si="39"/>
        <v>Large</v>
      </c>
      <c r="S439" s="5" t="str">
        <f t="shared" si="40"/>
        <v>Completed</v>
      </c>
      <c r="T439" s="5" t="str">
        <f t="shared" si="41"/>
        <v>Yes</v>
      </c>
    </row>
    <row r="440" spans="1:20"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c r="O440">
        <f t="shared" si="36"/>
        <v>1378.02</v>
      </c>
      <c r="P440" t="str">
        <f t="shared" si="37"/>
        <v>Jan</v>
      </c>
      <c r="Q440" t="str">
        <f t="shared" si="38"/>
        <v>Q1</v>
      </c>
      <c r="R440" s="5" t="str">
        <f t="shared" si="39"/>
        <v>Large</v>
      </c>
      <c r="S440" s="5" t="str">
        <f t="shared" si="40"/>
        <v>Pending</v>
      </c>
      <c r="T440" s="5" t="str">
        <f t="shared" si="41"/>
        <v>Yes</v>
      </c>
    </row>
    <row r="441" spans="1:20"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c r="O441">
        <f t="shared" si="36"/>
        <v>146.32</v>
      </c>
      <c r="P441" t="str">
        <f t="shared" si="37"/>
        <v>Sep</v>
      </c>
      <c r="Q441" t="str">
        <f t="shared" si="38"/>
        <v>Q3</v>
      </c>
      <c r="R441" s="5" t="str">
        <f t="shared" si="39"/>
        <v>Medium</v>
      </c>
      <c r="S441" s="5" t="str">
        <f t="shared" si="40"/>
        <v>Pending</v>
      </c>
      <c r="T441" s="5" t="str">
        <f t="shared" si="41"/>
        <v>Yes</v>
      </c>
    </row>
    <row r="442" spans="1:20"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c r="O442">
        <f t="shared" si="36"/>
        <v>334.4</v>
      </c>
      <c r="P442" t="str">
        <f t="shared" si="37"/>
        <v>Nov</v>
      </c>
      <c r="Q442" t="str">
        <f t="shared" si="38"/>
        <v>Q4</v>
      </c>
      <c r="R442" s="5" t="str">
        <f t="shared" si="39"/>
        <v>Medium</v>
      </c>
      <c r="S442" s="5" t="str">
        <f t="shared" si="40"/>
        <v>Pending</v>
      </c>
      <c r="T442" s="5" t="str">
        <f t="shared" si="41"/>
        <v>Yes</v>
      </c>
    </row>
    <row r="443" spans="1:20"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c r="O443">
        <f t="shared" si="36"/>
        <v>657.08</v>
      </c>
      <c r="P443" t="str">
        <f t="shared" si="37"/>
        <v>Dec</v>
      </c>
      <c r="Q443" t="str">
        <f t="shared" si="38"/>
        <v>Q4</v>
      </c>
      <c r="R443" s="5" t="str">
        <f t="shared" si="39"/>
        <v>Large</v>
      </c>
      <c r="S443" s="5" t="str">
        <f t="shared" si="40"/>
        <v>Pending</v>
      </c>
      <c r="T443" s="5" t="str">
        <f t="shared" si="41"/>
        <v>Yes</v>
      </c>
    </row>
    <row r="444" spans="1:20"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c r="O444">
        <f t="shared" si="36"/>
        <v>1574.7</v>
      </c>
      <c r="P444" t="str">
        <f t="shared" si="37"/>
        <v>May</v>
      </c>
      <c r="Q444" t="str">
        <f t="shared" si="38"/>
        <v>Q2</v>
      </c>
      <c r="R444" s="5" t="str">
        <f t="shared" si="39"/>
        <v>Large</v>
      </c>
      <c r="S444" s="5" t="str">
        <f t="shared" si="40"/>
        <v>Pending</v>
      </c>
      <c r="T444" s="5" t="str">
        <f t="shared" si="41"/>
        <v>Yes</v>
      </c>
    </row>
    <row r="445" spans="1:20" x14ac:dyDescent="0.35">
      <c r="A445" t="s">
        <v>457</v>
      </c>
      <c r="B445" s="2">
        <v>45426</v>
      </c>
      <c r="C445" t="s">
        <v>1657</v>
      </c>
      <c r="D445" t="s">
        <v>2406</v>
      </c>
      <c r="E445">
        <v>2</v>
      </c>
      <c r="F445">
        <v>69.64</v>
      </c>
      <c r="G445" t="s">
        <v>2469</v>
      </c>
      <c r="H445" t="s">
        <v>3069</v>
      </c>
      <c r="I445" t="s">
        <v>3072</v>
      </c>
      <c r="J445" t="s">
        <v>3518</v>
      </c>
      <c r="K445">
        <v>6</v>
      </c>
      <c r="L445" t="s">
        <v>4329</v>
      </c>
      <c r="M445" t="s">
        <v>4281</v>
      </c>
      <c r="N445">
        <v>139.28</v>
      </c>
      <c r="O445">
        <f t="shared" si="36"/>
        <v>139.28</v>
      </c>
      <c r="P445" t="str">
        <f t="shared" si="37"/>
        <v>May</v>
      </c>
      <c r="Q445" t="str">
        <f t="shared" si="38"/>
        <v>Q2</v>
      </c>
      <c r="R445" s="5" t="str">
        <f t="shared" si="39"/>
        <v>Medium</v>
      </c>
      <c r="S445" s="5" t="str">
        <f t="shared" si="40"/>
        <v>Pending</v>
      </c>
      <c r="T445" s="5" t="str">
        <f t="shared" si="41"/>
        <v>Yes</v>
      </c>
    </row>
    <row r="446" spans="1:20"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c r="O446">
        <f t="shared" si="36"/>
        <v>135.16999999999999</v>
      </c>
      <c r="P446" t="str">
        <f t="shared" si="37"/>
        <v>Jun</v>
      </c>
      <c r="Q446" t="str">
        <f t="shared" si="38"/>
        <v>Q2</v>
      </c>
      <c r="R446" s="5" t="str">
        <f t="shared" si="39"/>
        <v>Medium</v>
      </c>
      <c r="S446" s="5" t="str">
        <f t="shared" si="40"/>
        <v>Pending</v>
      </c>
      <c r="T446" s="5" t="str">
        <f t="shared" si="41"/>
        <v>Yes</v>
      </c>
    </row>
    <row r="447" spans="1:20"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c r="O447">
        <f t="shared" si="36"/>
        <v>487.21</v>
      </c>
      <c r="P447" t="str">
        <f t="shared" si="37"/>
        <v>Mar</v>
      </c>
      <c r="Q447" t="str">
        <f t="shared" si="38"/>
        <v>Q1</v>
      </c>
      <c r="R447" s="5" t="str">
        <f t="shared" si="39"/>
        <v>Medium</v>
      </c>
      <c r="S447" s="5" t="str">
        <f t="shared" si="40"/>
        <v>Completed</v>
      </c>
      <c r="T447" s="5" t="str">
        <f t="shared" si="41"/>
        <v>Yes</v>
      </c>
    </row>
    <row r="448" spans="1:20"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c r="O448">
        <f t="shared" si="36"/>
        <v>2547.9</v>
      </c>
      <c r="P448" t="str">
        <f t="shared" si="37"/>
        <v>Oct</v>
      </c>
      <c r="Q448" t="str">
        <f t="shared" si="38"/>
        <v>Q4</v>
      </c>
      <c r="R448" s="5" t="str">
        <f t="shared" si="39"/>
        <v>Large</v>
      </c>
      <c r="S448" s="5" t="str">
        <f t="shared" si="40"/>
        <v>Completed</v>
      </c>
      <c r="T448" s="5" t="str">
        <f t="shared" si="41"/>
        <v>Yes</v>
      </c>
    </row>
    <row r="449" spans="1:20" x14ac:dyDescent="0.35">
      <c r="A449" t="s">
        <v>461</v>
      </c>
      <c r="B449" s="2">
        <v>45389</v>
      </c>
      <c r="C449" t="s">
        <v>1661</v>
      </c>
      <c r="D449" t="s">
        <v>2407</v>
      </c>
      <c r="E449">
        <v>2</v>
      </c>
      <c r="F449">
        <v>416.81</v>
      </c>
      <c r="G449" t="s">
        <v>2759</v>
      </c>
      <c r="H449" t="s">
        <v>3069</v>
      </c>
      <c r="I449" t="s">
        <v>3072</v>
      </c>
      <c r="J449" t="s">
        <v>3522</v>
      </c>
      <c r="K449">
        <v>2</v>
      </c>
      <c r="L449" t="s">
        <v>4329</v>
      </c>
      <c r="M449" t="s">
        <v>4281</v>
      </c>
      <c r="N449">
        <v>833.62</v>
      </c>
      <c r="O449">
        <f t="shared" si="36"/>
        <v>833.62</v>
      </c>
      <c r="P449" t="str">
        <f t="shared" si="37"/>
        <v>Apr</v>
      </c>
      <c r="Q449" t="str">
        <f t="shared" si="38"/>
        <v>Q2</v>
      </c>
      <c r="R449" s="5" t="str">
        <f t="shared" si="39"/>
        <v>Large</v>
      </c>
      <c r="S449" s="5" t="str">
        <f t="shared" si="40"/>
        <v>Pending</v>
      </c>
      <c r="T449" s="5" t="str">
        <f t="shared" si="41"/>
        <v>Yes</v>
      </c>
    </row>
    <row r="450" spans="1:20" x14ac:dyDescent="0.35">
      <c r="A450" t="s">
        <v>462</v>
      </c>
      <c r="B450" s="2">
        <v>45173</v>
      </c>
      <c r="C450" t="s">
        <v>1662</v>
      </c>
      <c r="D450" t="s">
        <v>2408</v>
      </c>
      <c r="E450">
        <v>2</v>
      </c>
      <c r="F450">
        <v>160</v>
      </c>
      <c r="G450" t="s">
        <v>2760</v>
      </c>
      <c r="H450" t="s">
        <v>3069</v>
      </c>
      <c r="I450" t="s">
        <v>3074</v>
      </c>
      <c r="J450" t="s">
        <v>3523</v>
      </c>
      <c r="K450">
        <v>4</v>
      </c>
      <c r="L450" t="s">
        <v>4275</v>
      </c>
      <c r="M450" t="s">
        <v>4278</v>
      </c>
      <c r="N450">
        <v>320</v>
      </c>
      <c r="O450">
        <f t="shared" ref="O450:O513" si="42">E450*F450</f>
        <v>320</v>
      </c>
      <c r="P450" t="str">
        <f t="shared" ref="P450:P513" si="43">TEXT(B450, "mmm")</f>
        <v>Sep</v>
      </c>
      <c r="Q450" t="str">
        <f t="shared" ref="Q450:Q513" si="44">"Q"&amp;ROUNDUP(MONTH(B450)/3,0)</f>
        <v>Q3</v>
      </c>
      <c r="R450" s="5" t="str">
        <f t="shared" ref="R450:R513" si="45">IF(N450&lt;100,"Small", IF(N450&lt;500, "Medium", "Large"))</f>
        <v>Medium</v>
      </c>
      <c r="S450" s="5" t="str">
        <f t="shared" ref="S450:S513" si="46">IF(I450="Delivered","Completed","Pending")</f>
        <v>Pending</v>
      </c>
      <c r="T450" s="5" t="str">
        <f t="shared" ref="T450:T513" si="47">IF(L450="","No", "Yes")</f>
        <v>Yes</v>
      </c>
    </row>
    <row r="451" spans="1:20" x14ac:dyDescent="0.35">
      <c r="A451" t="s">
        <v>463</v>
      </c>
      <c r="B451" s="2">
        <v>45530</v>
      </c>
      <c r="C451" t="s">
        <v>1663</v>
      </c>
      <c r="D451" t="s">
        <v>2405</v>
      </c>
      <c r="E451">
        <v>3</v>
      </c>
      <c r="F451">
        <v>253.05</v>
      </c>
      <c r="G451" t="s">
        <v>2761</v>
      </c>
      <c r="H451" t="s">
        <v>3066</v>
      </c>
      <c r="I451" t="s">
        <v>3074</v>
      </c>
      <c r="J451" t="s">
        <v>3524</v>
      </c>
      <c r="K451">
        <v>3</v>
      </c>
      <c r="L451" t="s">
        <v>4329</v>
      </c>
      <c r="M451" t="s">
        <v>4278</v>
      </c>
      <c r="N451">
        <v>759.15000000000009</v>
      </c>
      <c r="O451">
        <f t="shared" si="42"/>
        <v>759.15000000000009</v>
      </c>
      <c r="P451" t="str">
        <f t="shared" si="43"/>
        <v>Aug</v>
      </c>
      <c r="Q451" t="str">
        <f t="shared" si="44"/>
        <v>Q3</v>
      </c>
      <c r="R451" s="5" t="str">
        <f t="shared" si="45"/>
        <v>Large</v>
      </c>
      <c r="S451" s="5" t="str">
        <f t="shared" si="46"/>
        <v>Pending</v>
      </c>
      <c r="T451" s="5" t="str">
        <f t="shared" si="47"/>
        <v>Yes</v>
      </c>
    </row>
    <row r="452" spans="1:20"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c r="O452">
        <f t="shared" si="42"/>
        <v>3075.5</v>
      </c>
      <c r="P452" t="str">
        <f t="shared" si="43"/>
        <v>Jan</v>
      </c>
      <c r="Q452" t="str">
        <f t="shared" si="44"/>
        <v>Q1</v>
      </c>
      <c r="R452" s="5" t="str">
        <f t="shared" si="45"/>
        <v>Large</v>
      </c>
      <c r="S452" s="5" t="str">
        <f t="shared" si="46"/>
        <v>Pending</v>
      </c>
      <c r="T452" s="5" t="str">
        <f t="shared" si="47"/>
        <v>Yes</v>
      </c>
    </row>
    <row r="453" spans="1:20"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c r="O453">
        <f t="shared" si="42"/>
        <v>183.18</v>
      </c>
      <c r="P453" t="str">
        <f t="shared" si="43"/>
        <v>Apr</v>
      </c>
      <c r="Q453" t="str">
        <f t="shared" si="44"/>
        <v>Q2</v>
      </c>
      <c r="R453" s="5" t="str">
        <f t="shared" si="45"/>
        <v>Medium</v>
      </c>
      <c r="S453" s="5" t="str">
        <f t="shared" si="46"/>
        <v>Pending</v>
      </c>
      <c r="T453" s="5" t="str">
        <f t="shared" si="47"/>
        <v>Yes</v>
      </c>
    </row>
    <row r="454" spans="1:20"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c r="O454">
        <f t="shared" si="42"/>
        <v>75.78</v>
      </c>
      <c r="P454" t="str">
        <f t="shared" si="43"/>
        <v>Jul</v>
      </c>
      <c r="Q454" t="str">
        <f t="shared" si="44"/>
        <v>Q3</v>
      </c>
      <c r="R454" s="5" t="str">
        <f t="shared" si="45"/>
        <v>Small</v>
      </c>
      <c r="S454" s="5" t="str">
        <f t="shared" si="46"/>
        <v>Pending</v>
      </c>
      <c r="T454" s="5" t="str">
        <f t="shared" si="47"/>
        <v>Yes</v>
      </c>
    </row>
    <row r="455" spans="1:20"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c r="O455">
        <f t="shared" si="42"/>
        <v>675.57</v>
      </c>
      <c r="P455" t="str">
        <f t="shared" si="43"/>
        <v>May</v>
      </c>
      <c r="Q455" t="str">
        <f t="shared" si="44"/>
        <v>Q2</v>
      </c>
      <c r="R455" s="5" t="str">
        <f t="shared" si="45"/>
        <v>Large</v>
      </c>
      <c r="S455" s="5" t="str">
        <f t="shared" si="46"/>
        <v>Pending</v>
      </c>
      <c r="T455" s="5" t="str">
        <f t="shared" si="47"/>
        <v>Yes</v>
      </c>
    </row>
    <row r="456" spans="1:20"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c r="O456">
        <f t="shared" si="42"/>
        <v>109.29</v>
      </c>
      <c r="P456" t="str">
        <f t="shared" si="43"/>
        <v>Nov</v>
      </c>
      <c r="Q456" t="str">
        <f t="shared" si="44"/>
        <v>Q4</v>
      </c>
      <c r="R456" s="5" t="str">
        <f t="shared" si="45"/>
        <v>Medium</v>
      </c>
      <c r="S456" s="5" t="str">
        <f t="shared" si="46"/>
        <v>Pending</v>
      </c>
      <c r="T456" s="5" t="str">
        <f t="shared" si="47"/>
        <v>Yes</v>
      </c>
    </row>
    <row r="457" spans="1:20"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c r="O457">
        <f t="shared" si="42"/>
        <v>639.83000000000004</v>
      </c>
      <c r="P457" t="str">
        <f t="shared" si="43"/>
        <v>Mar</v>
      </c>
      <c r="Q457" t="str">
        <f t="shared" si="44"/>
        <v>Q1</v>
      </c>
      <c r="R457" s="5" t="str">
        <f t="shared" si="45"/>
        <v>Large</v>
      </c>
      <c r="S457" s="5" t="str">
        <f t="shared" si="46"/>
        <v>Pending</v>
      </c>
      <c r="T457" s="5" t="str">
        <f t="shared" si="47"/>
        <v>Yes</v>
      </c>
    </row>
    <row r="458" spans="1:20"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c r="O458">
        <f t="shared" si="42"/>
        <v>314.05</v>
      </c>
      <c r="P458" t="str">
        <f t="shared" si="43"/>
        <v>Jun</v>
      </c>
      <c r="Q458" t="str">
        <f t="shared" si="44"/>
        <v>Q2</v>
      </c>
      <c r="R458" s="5" t="str">
        <f t="shared" si="45"/>
        <v>Medium</v>
      </c>
      <c r="S458" s="5" t="str">
        <f t="shared" si="46"/>
        <v>Pending</v>
      </c>
      <c r="T458" s="5" t="str">
        <f t="shared" si="47"/>
        <v>Yes</v>
      </c>
    </row>
    <row r="459" spans="1:20"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c r="O459">
        <f t="shared" si="42"/>
        <v>2463.3200000000002</v>
      </c>
      <c r="P459" t="str">
        <f t="shared" si="43"/>
        <v>May</v>
      </c>
      <c r="Q459" t="str">
        <f t="shared" si="44"/>
        <v>Q2</v>
      </c>
      <c r="R459" s="5" t="str">
        <f t="shared" si="45"/>
        <v>Large</v>
      </c>
      <c r="S459" s="5" t="str">
        <f t="shared" si="46"/>
        <v>Pending</v>
      </c>
      <c r="T459" s="5" t="str">
        <f t="shared" si="47"/>
        <v>Yes</v>
      </c>
    </row>
    <row r="460" spans="1:20"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c r="O460">
        <f t="shared" si="42"/>
        <v>2042.32</v>
      </c>
      <c r="P460" t="str">
        <f t="shared" si="43"/>
        <v>Jul</v>
      </c>
      <c r="Q460" t="str">
        <f t="shared" si="44"/>
        <v>Q3</v>
      </c>
      <c r="R460" s="5" t="str">
        <f t="shared" si="45"/>
        <v>Large</v>
      </c>
      <c r="S460" s="5" t="str">
        <f t="shared" si="46"/>
        <v>Pending</v>
      </c>
      <c r="T460" s="5" t="str">
        <f t="shared" si="47"/>
        <v>Yes</v>
      </c>
    </row>
    <row r="461" spans="1:20" x14ac:dyDescent="0.35">
      <c r="A461" t="s">
        <v>473</v>
      </c>
      <c r="B461" s="2">
        <v>45497</v>
      </c>
      <c r="C461" t="s">
        <v>1673</v>
      </c>
      <c r="D461" t="s">
        <v>2409</v>
      </c>
      <c r="E461">
        <v>1</v>
      </c>
      <c r="F461">
        <v>334.39</v>
      </c>
      <c r="G461" t="s">
        <v>2749</v>
      </c>
      <c r="H461" t="s">
        <v>3067</v>
      </c>
      <c r="I461" t="s">
        <v>3072</v>
      </c>
      <c r="J461" t="s">
        <v>3534</v>
      </c>
      <c r="K461">
        <v>2</v>
      </c>
      <c r="L461" t="s">
        <v>4329</v>
      </c>
      <c r="M461" t="s">
        <v>4278</v>
      </c>
      <c r="N461">
        <v>334.39</v>
      </c>
      <c r="O461">
        <f t="shared" si="42"/>
        <v>334.39</v>
      </c>
      <c r="P461" t="str">
        <f t="shared" si="43"/>
        <v>Jul</v>
      </c>
      <c r="Q461" t="str">
        <f t="shared" si="44"/>
        <v>Q3</v>
      </c>
      <c r="R461" s="5" t="str">
        <f t="shared" si="45"/>
        <v>Medium</v>
      </c>
      <c r="S461" s="5" t="str">
        <f t="shared" si="46"/>
        <v>Pending</v>
      </c>
      <c r="T461" s="5" t="str">
        <f t="shared" si="47"/>
        <v>Yes</v>
      </c>
    </row>
    <row r="462" spans="1:20"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c r="O462">
        <f t="shared" si="42"/>
        <v>144.25</v>
      </c>
      <c r="P462" t="str">
        <f t="shared" si="43"/>
        <v>Oct</v>
      </c>
      <c r="Q462" t="str">
        <f t="shared" si="44"/>
        <v>Q4</v>
      </c>
      <c r="R462" s="5" t="str">
        <f t="shared" si="45"/>
        <v>Medium</v>
      </c>
      <c r="S462" s="5" t="str">
        <f t="shared" si="46"/>
        <v>Pending</v>
      </c>
      <c r="T462" s="5" t="str">
        <f t="shared" si="47"/>
        <v>Yes</v>
      </c>
    </row>
    <row r="463" spans="1:20"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c r="O463">
        <f t="shared" si="42"/>
        <v>401.82</v>
      </c>
      <c r="P463" t="str">
        <f t="shared" si="43"/>
        <v>Jun</v>
      </c>
      <c r="Q463" t="str">
        <f t="shared" si="44"/>
        <v>Q2</v>
      </c>
      <c r="R463" s="5" t="str">
        <f t="shared" si="45"/>
        <v>Medium</v>
      </c>
      <c r="S463" s="5" t="str">
        <f t="shared" si="46"/>
        <v>Pending</v>
      </c>
      <c r="T463" s="5" t="str">
        <f t="shared" si="47"/>
        <v>Yes</v>
      </c>
    </row>
    <row r="464" spans="1:20" x14ac:dyDescent="0.35">
      <c r="A464" t="s">
        <v>476</v>
      </c>
      <c r="B464" s="2">
        <v>45747</v>
      </c>
      <c r="C464" t="s">
        <v>1676</v>
      </c>
      <c r="D464" t="s">
        <v>2404</v>
      </c>
      <c r="E464">
        <v>1</v>
      </c>
      <c r="F464">
        <v>252.68</v>
      </c>
      <c r="G464" t="s">
        <v>2769</v>
      </c>
      <c r="H464" t="s">
        <v>3066</v>
      </c>
      <c r="I464" t="s">
        <v>3071</v>
      </c>
      <c r="J464" t="s">
        <v>3537</v>
      </c>
      <c r="K464">
        <v>1</v>
      </c>
      <c r="L464" t="s">
        <v>4329</v>
      </c>
      <c r="M464" t="s">
        <v>4279</v>
      </c>
      <c r="N464">
        <v>252.68</v>
      </c>
      <c r="O464">
        <f t="shared" si="42"/>
        <v>252.68</v>
      </c>
      <c r="P464" t="str">
        <f t="shared" si="43"/>
        <v>Mar</v>
      </c>
      <c r="Q464" t="str">
        <f t="shared" si="44"/>
        <v>Q1</v>
      </c>
      <c r="R464" s="5" t="str">
        <f t="shared" si="45"/>
        <v>Medium</v>
      </c>
      <c r="S464" s="5" t="str">
        <f t="shared" si="46"/>
        <v>Pending</v>
      </c>
      <c r="T464" s="5" t="str">
        <f t="shared" si="47"/>
        <v>Yes</v>
      </c>
    </row>
    <row r="465" spans="1:20"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c r="O465">
        <f t="shared" si="42"/>
        <v>3313.8999999999996</v>
      </c>
      <c r="P465" t="str">
        <f t="shared" si="43"/>
        <v>May</v>
      </c>
      <c r="Q465" t="str">
        <f t="shared" si="44"/>
        <v>Q2</v>
      </c>
      <c r="R465" s="5" t="str">
        <f t="shared" si="45"/>
        <v>Large</v>
      </c>
      <c r="S465" s="5" t="str">
        <f t="shared" si="46"/>
        <v>Pending</v>
      </c>
      <c r="T465" s="5" t="str">
        <f t="shared" si="47"/>
        <v>Yes</v>
      </c>
    </row>
    <row r="466" spans="1:20"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c r="O466">
        <f t="shared" si="42"/>
        <v>1737.68</v>
      </c>
      <c r="P466" t="str">
        <f t="shared" si="43"/>
        <v>Mar</v>
      </c>
      <c r="Q466" t="str">
        <f t="shared" si="44"/>
        <v>Q1</v>
      </c>
      <c r="R466" s="5" t="str">
        <f t="shared" si="45"/>
        <v>Large</v>
      </c>
      <c r="S466" s="5" t="str">
        <f t="shared" si="46"/>
        <v>Pending</v>
      </c>
      <c r="T466" s="5" t="str">
        <f t="shared" si="47"/>
        <v>Yes</v>
      </c>
    </row>
    <row r="467" spans="1:20" x14ac:dyDescent="0.35">
      <c r="A467" t="s">
        <v>479</v>
      </c>
      <c r="B467" s="2">
        <v>45348</v>
      </c>
      <c r="C467" t="s">
        <v>1679</v>
      </c>
      <c r="D467" t="s">
        <v>2407</v>
      </c>
      <c r="E467">
        <v>5</v>
      </c>
      <c r="F467">
        <v>513.49</v>
      </c>
      <c r="G467" t="s">
        <v>2772</v>
      </c>
      <c r="H467" t="s">
        <v>3068</v>
      </c>
      <c r="I467" t="s">
        <v>3071</v>
      </c>
      <c r="J467" t="s">
        <v>3540</v>
      </c>
      <c r="K467">
        <v>8</v>
      </c>
      <c r="L467" t="s">
        <v>4329</v>
      </c>
      <c r="M467" t="s">
        <v>4282</v>
      </c>
      <c r="N467">
        <v>2567.4499999999998</v>
      </c>
      <c r="O467">
        <f t="shared" si="42"/>
        <v>2567.4499999999998</v>
      </c>
      <c r="P467" t="str">
        <f t="shared" si="43"/>
        <v>Feb</v>
      </c>
      <c r="Q467" t="str">
        <f t="shared" si="44"/>
        <v>Q1</v>
      </c>
      <c r="R467" s="5" t="str">
        <f t="shared" si="45"/>
        <v>Large</v>
      </c>
      <c r="S467" s="5" t="str">
        <f t="shared" si="46"/>
        <v>Pending</v>
      </c>
      <c r="T467" s="5" t="str">
        <f t="shared" si="47"/>
        <v>Yes</v>
      </c>
    </row>
    <row r="468" spans="1:20"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c r="O468">
        <f t="shared" si="42"/>
        <v>432.47</v>
      </c>
      <c r="P468" t="str">
        <f t="shared" si="43"/>
        <v>Jul</v>
      </c>
      <c r="Q468" t="str">
        <f t="shared" si="44"/>
        <v>Q3</v>
      </c>
      <c r="R468" s="5" t="str">
        <f t="shared" si="45"/>
        <v>Medium</v>
      </c>
      <c r="S468" s="5" t="str">
        <f t="shared" si="46"/>
        <v>Completed</v>
      </c>
      <c r="T468" s="5" t="str">
        <f t="shared" si="47"/>
        <v>Yes</v>
      </c>
    </row>
    <row r="469" spans="1:20"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c r="O469">
        <f t="shared" si="42"/>
        <v>45.94</v>
      </c>
      <c r="P469" t="str">
        <f t="shared" si="43"/>
        <v>Aug</v>
      </c>
      <c r="Q469" t="str">
        <f t="shared" si="44"/>
        <v>Q3</v>
      </c>
      <c r="R469" s="5" t="str">
        <f t="shared" si="45"/>
        <v>Small</v>
      </c>
      <c r="S469" s="5" t="str">
        <f t="shared" si="46"/>
        <v>Pending</v>
      </c>
      <c r="T469" s="5" t="str">
        <f t="shared" si="47"/>
        <v>Yes</v>
      </c>
    </row>
    <row r="470" spans="1:20"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c r="O470">
        <f t="shared" si="42"/>
        <v>418.36</v>
      </c>
      <c r="P470" t="str">
        <f t="shared" si="43"/>
        <v>Jun</v>
      </c>
      <c r="Q470" t="str">
        <f t="shared" si="44"/>
        <v>Q2</v>
      </c>
      <c r="R470" s="5" t="str">
        <f t="shared" si="45"/>
        <v>Medium</v>
      </c>
      <c r="S470" s="5" t="str">
        <f t="shared" si="46"/>
        <v>Completed</v>
      </c>
      <c r="T470" s="5" t="str">
        <f t="shared" si="47"/>
        <v>Yes</v>
      </c>
    </row>
    <row r="471" spans="1:20" x14ac:dyDescent="0.35">
      <c r="A471" t="s">
        <v>483</v>
      </c>
      <c r="B471" s="2">
        <v>45256</v>
      </c>
      <c r="C471" t="s">
        <v>1683</v>
      </c>
      <c r="D471" t="s">
        <v>2406</v>
      </c>
      <c r="E471">
        <v>5</v>
      </c>
      <c r="F471">
        <v>676.98</v>
      </c>
      <c r="G471" t="s">
        <v>2546</v>
      </c>
      <c r="H471" t="s">
        <v>3069</v>
      </c>
      <c r="I471" t="s">
        <v>3071</v>
      </c>
      <c r="J471" t="s">
        <v>3544</v>
      </c>
      <c r="K471">
        <v>5</v>
      </c>
      <c r="L471" t="s">
        <v>4329</v>
      </c>
      <c r="M471" t="s">
        <v>4281</v>
      </c>
      <c r="N471">
        <v>3384.9</v>
      </c>
      <c r="O471">
        <f t="shared" si="42"/>
        <v>3384.9</v>
      </c>
      <c r="P471" t="str">
        <f t="shared" si="43"/>
        <v>Nov</v>
      </c>
      <c r="Q471" t="str">
        <f t="shared" si="44"/>
        <v>Q4</v>
      </c>
      <c r="R471" s="5" t="str">
        <f t="shared" si="45"/>
        <v>Large</v>
      </c>
      <c r="S471" s="5" t="str">
        <f t="shared" si="46"/>
        <v>Pending</v>
      </c>
      <c r="T471" s="5" t="str">
        <f t="shared" si="47"/>
        <v>Yes</v>
      </c>
    </row>
    <row r="472" spans="1:20"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c r="O472">
        <f t="shared" si="42"/>
        <v>1054.48</v>
      </c>
      <c r="P472" t="str">
        <f t="shared" si="43"/>
        <v>Sep</v>
      </c>
      <c r="Q472" t="str">
        <f t="shared" si="44"/>
        <v>Q3</v>
      </c>
      <c r="R472" s="5" t="str">
        <f t="shared" si="45"/>
        <v>Large</v>
      </c>
      <c r="S472" s="5" t="str">
        <f t="shared" si="46"/>
        <v>Pending</v>
      </c>
      <c r="T472" s="5" t="str">
        <f t="shared" si="47"/>
        <v>Yes</v>
      </c>
    </row>
    <row r="473" spans="1:20"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c r="O473">
        <f t="shared" si="42"/>
        <v>2756.35</v>
      </c>
      <c r="P473" t="str">
        <f t="shared" si="43"/>
        <v>Apr</v>
      </c>
      <c r="Q473" t="str">
        <f t="shared" si="44"/>
        <v>Q2</v>
      </c>
      <c r="R473" s="5" t="str">
        <f t="shared" si="45"/>
        <v>Large</v>
      </c>
      <c r="S473" s="5" t="str">
        <f t="shared" si="46"/>
        <v>Pending</v>
      </c>
      <c r="T473" s="5" t="str">
        <f t="shared" si="47"/>
        <v>Yes</v>
      </c>
    </row>
    <row r="474" spans="1:20"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c r="O474">
        <f t="shared" si="42"/>
        <v>1524.3600000000001</v>
      </c>
      <c r="P474" t="str">
        <f t="shared" si="43"/>
        <v>Jan</v>
      </c>
      <c r="Q474" t="str">
        <f t="shared" si="44"/>
        <v>Q1</v>
      </c>
      <c r="R474" s="5" t="str">
        <f t="shared" si="45"/>
        <v>Large</v>
      </c>
      <c r="S474" s="5" t="str">
        <f t="shared" si="46"/>
        <v>Pending</v>
      </c>
      <c r="T474" s="5" t="str">
        <f t="shared" si="47"/>
        <v>Yes</v>
      </c>
    </row>
    <row r="475" spans="1:20" x14ac:dyDescent="0.35">
      <c r="A475" t="s">
        <v>487</v>
      </c>
      <c r="B475" s="2">
        <v>45713</v>
      </c>
      <c r="C475" t="s">
        <v>1687</v>
      </c>
      <c r="D475" t="s">
        <v>2406</v>
      </c>
      <c r="E475">
        <v>2</v>
      </c>
      <c r="F475">
        <v>14.93</v>
      </c>
      <c r="G475" t="s">
        <v>2777</v>
      </c>
      <c r="H475" t="s">
        <v>3066</v>
      </c>
      <c r="I475" t="s">
        <v>3070</v>
      </c>
      <c r="J475" t="s">
        <v>3548</v>
      </c>
      <c r="K475">
        <v>4</v>
      </c>
      <c r="L475" t="s">
        <v>4329</v>
      </c>
      <c r="M475" t="s">
        <v>4281</v>
      </c>
      <c r="N475">
        <v>29.86</v>
      </c>
      <c r="O475">
        <f t="shared" si="42"/>
        <v>29.86</v>
      </c>
      <c r="P475" t="str">
        <f t="shared" si="43"/>
        <v>Feb</v>
      </c>
      <c r="Q475" t="str">
        <f t="shared" si="44"/>
        <v>Q1</v>
      </c>
      <c r="R475" s="5" t="str">
        <f t="shared" si="45"/>
        <v>Small</v>
      </c>
      <c r="S475" s="5" t="str">
        <f t="shared" si="46"/>
        <v>Pending</v>
      </c>
      <c r="T475" s="5" t="str">
        <f t="shared" si="47"/>
        <v>Yes</v>
      </c>
    </row>
    <row r="476" spans="1:20"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c r="O476">
        <f t="shared" si="42"/>
        <v>688.02</v>
      </c>
      <c r="P476" t="str">
        <f t="shared" si="43"/>
        <v>Nov</v>
      </c>
      <c r="Q476" t="str">
        <f t="shared" si="44"/>
        <v>Q4</v>
      </c>
      <c r="R476" s="5" t="str">
        <f t="shared" si="45"/>
        <v>Large</v>
      </c>
      <c r="S476" s="5" t="str">
        <f t="shared" si="46"/>
        <v>Pending</v>
      </c>
      <c r="T476" s="5" t="str">
        <f t="shared" si="47"/>
        <v>Yes</v>
      </c>
    </row>
    <row r="477" spans="1:20"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c r="O477">
        <f t="shared" si="42"/>
        <v>877.24</v>
      </c>
      <c r="P477" t="str">
        <f t="shared" si="43"/>
        <v>Apr</v>
      </c>
      <c r="Q477" t="str">
        <f t="shared" si="44"/>
        <v>Q2</v>
      </c>
      <c r="R477" s="5" t="str">
        <f t="shared" si="45"/>
        <v>Large</v>
      </c>
      <c r="S477" s="5" t="str">
        <f t="shared" si="46"/>
        <v>Pending</v>
      </c>
      <c r="T477" s="5" t="str">
        <f t="shared" si="47"/>
        <v>Yes</v>
      </c>
    </row>
    <row r="478" spans="1:20"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c r="O478">
        <f t="shared" si="42"/>
        <v>1027.18</v>
      </c>
      <c r="P478" t="str">
        <f t="shared" si="43"/>
        <v>Jan</v>
      </c>
      <c r="Q478" t="str">
        <f t="shared" si="44"/>
        <v>Q1</v>
      </c>
      <c r="R478" s="5" t="str">
        <f t="shared" si="45"/>
        <v>Large</v>
      </c>
      <c r="S478" s="5" t="str">
        <f t="shared" si="46"/>
        <v>Pending</v>
      </c>
      <c r="T478" s="5" t="str">
        <f t="shared" si="47"/>
        <v>Yes</v>
      </c>
    </row>
    <row r="479" spans="1:20"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c r="O479">
        <f t="shared" si="42"/>
        <v>507.48</v>
      </c>
      <c r="P479" t="str">
        <f t="shared" si="43"/>
        <v>Mar</v>
      </c>
      <c r="Q479" t="str">
        <f t="shared" si="44"/>
        <v>Q1</v>
      </c>
      <c r="R479" s="5" t="str">
        <f t="shared" si="45"/>
        <v>Large</v>
      </c>
      <c r="S479" s="5" t="str">
        <f t="shared" si="46"/>
        <v>Pending</v>
      </c>
      <c r="T479" s="5" t="str">
        <f t="shared" si="47"/>
        <v>Yes</v>
      </c>
    </row>
    <row r="480" spans="1:20"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c r="O480">
        <f t="shared" si="42"/>
        <v>188.31</v>
      </c>
      <c r="P480" t="str">
        <f t="shared" si="43"/>
        <v>Nov</v>
      </c>
      <c r="Q480" t="str">
        <f t="shared" si="44"/>
        <v>Q4</v>
      </c>
      <c r="R480" s="5" t="str">
        <f t="shared" si="45"/>
        <v>Medium</v>
      </c>
      <c r="S480" s="5" t="str">
        <f t="shared" si="46"/>
        <v>Pending</v>
      </c>
      <c r="T480" s="5" t="str">
        <f t="shared" si="47"/>
        <v>Yes</v>
      </c>
    </row>
    <row r="481" spans="1:20" x14ac:dyDescent="0.35">
      <c r="A481" t="s">
        <v>493</v>
      </c>
      <c r="B481" s="2">
        <v>44975</v>
      </c>
      <c r="C481" t="s">
        <v>1693</v>
      </c>
      <c r="D481" t="s">
        <v>2403</v>
      </c>
      <c r="E481">
        <v>4</v>
      </c>
      <c r="F481">
        <v>25.29</v>
      </c>
      <c r="G481" t="s">
        <v>2781</v>
      </c>
      <c r="H481" t="s">
        <v>3067</v>
      </c>
      <c r="I481" t="s">
        <v>3074</v>
      </c>
      <c r="J481" t="s">
        <v>3554</v>
      </c>
      <c r="K481">
        <v>8</v>
      </c>
      <c r="L481" t="s">
        <v>4329</v>
      </c>
      <c r="M481" t="s">
        <v>4282</v>
      </c>
      <c r="N481">
        <v>101.16</v>
      </c>
      <c r="O481">
        <f t="shared" si="42"/>
        <v>101.16</v>
      </c>
      <c r="P481" t="str">
        <f t="shared" si="43"/>
        <v>Feb</v>
      </c>
      <c r="Q481" t="str">
        <f t="shared" si="44"/>
        <v>Q1</v>
      </c>
      <c r="R481" s="5" t="str">
        <f t="shared" si="45"/>
        <v>Medium</v>
      </c>
      <c r="S481" s="5" t="str">
        <f t="shared" si="46"/>
        <v>Pending</v>
      </c>
      <c r="T481" s="5" t="str">
        <f t="shared" si="47"/>
        <v>Yes</v>
      </c>
    </row>
    <row r="482" spans="1:20"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c r="O482">
        <f t="shared" si="42"/>
        <v>335.1</v>
      </c>
      <c r="P482" t="str">
        <f t="shared" si="43"/>
        <v>Jun</v>
      </c>
      <c r="Q482" t="str">
        <f t="shared" si="44"/>
        <v>Q2</v>
      </c>
      <c r="R482" s="5" t="str">
        <f t="shared" si="45"/>
        <v>Medium</v>
      </c>
      <c r="S482" s="5" t="str">
        <f t="shared" si="46"/>
        <v>Pending</v>
      </c>
      <c r="T482" s="5" t="str">
        <f t="shared" si="47"/>
        <v>Yes</v>
      </c>
    </row>
    <row r="483" spans="1:20"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c r="O483">
        <f t="shared" si="42"/>
        <v>1939.4</v>
      </c>
      <c r="P483" t="str">
        <f t="shared" si="43"/>
        <v>Apr</v>
      </c>
      <c r="Q483" t="str">
        <f t="shared" si="44"/>
        <v>Q2</v>
      </c>
      <c r="R483" s="5" t="str">
        <f t="shared" si="45"/>
        <v>Large</v>
      </c>
      <c r="S483" s="5" t="str">
        <f t="shared" si="46"/>
        <v>Completed</v>
      </c>
      <c r="T483" s="5" t="str">
        <f t="shared" si="47"/>
        <v>Yes</v>
      </c>
    </row>
    <row r="484" spans="1:20" x14ac:dyDescent="0.35">
      <c r="A484" t="s">
        <v>496</v>
      </c>
      <c r="B484" s="2">
        <v>45718</v>
      </c>
      <c r="C484" t="s">
        <v>1696</v>
      </c>
      <c r="D484" t="s">
        <v>2403</v>
      </c>
      <c r="E484">
        <v>3</v>
      </c>
      <c r="F484">
        <v>381.41</v>
      </c>
      <c r="G484" t="s">
        <v>2487</v>
      </c>
      <c r="H484" t="s">
        <v>3066</v>
      </c>
      <c r="I484" t="s">
        <v>3074</v>
      </c>
      <c r="J484" t="s">
        <v>3557</v>
      </c>
      <c r="K484">
        <v>6</v>
      </c>
      <c r="L484" t="s">
        <v>4329</v>
      </c>
      <c r="M484" t="s">
        <v>4278</v>
      </c>
      <c r="N484">
        <v>1144.23</v>
      </c>
      <c r="O484">
        <f t="shared" si="42"/>
        <v>1144.23</v>
      </c>
      <c r="P484" t="str">
        <f t="shared" si="43"/>
        <v>Mar</v>
      </c>
      <c r="Q484" t="str">
        <f t="shared" si="44"/>
        <v>Q1</v>
      </c>
      <c r="R484" s="5" t="str">
        <f t="shared" si="45"/>
        <v>Large</v>
      </c>
      <c r="S484" s="5" t="str">
        <f t="shared" si="46"/>
        <v>Pending</v>
      </c>
      <c r="T484" s="5" t="str">
        <f t="shared" si="47"/>
        <v>Yes</v>
      </c>
    </row>
    <row r="485" spans="1:20"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c r="O485">
        <f t="shared" si="42"/>
        <v>1739.6000000000001</v>
      </c>
      <c r="P485" t="str">
        <f t="shared" si="43"/>
        <v>Jan</v>
      </c>
      <c r="Q485" t="str">
        <f t="shared" si="44"/>
        <v>Q1</v>
      </c>
      <c r="R485" s="5" t="str">
        <f t="shared" si="45"/>
        <v>Large</v>
      </c>
      <c r="S485" s="5" t="str">
        <f t="shared" si="46"/>
        <v>Pending</v>
      </c>
      <c r="T485" s="5" t="str">
        <f t="shared" si="47"/>
        <v>Yes</v>
      </c>
    </row>
    <row r="486" spans="1:20" x14ac:dyDescent="0.35">
      <c r="A486" t="s">
        <v>498</v>
      </c>
      <c r="B486" s="2">
        <v>45441</v>
      </c>
      <c r="C486" t="s">
        <v>1698</v>
      </c>
      <c r="D486" t="s">
        <v>2406</v>
      </c>
      <c r="E486">
        <v>4</v>
      </c>
      <c r="F486">
        <v>15.01</v>
      </c>
      <c r="G486" t="s">
        <v>2736</v>
      </c>
      <c r="H486" t="s">
        <v>3069</v>
      </c>
      <c r="I486" t="s">
        <v>3071</v>
      </c>
      <c r="J486" t="s">
        <v>3559</v>
      </c>
      <c r="K486">
        <v>6</v>
      </c>
      <c r="L486" t="s">
        <v>4329</v>
      </c>
      <c r="M486" t="s">
        <v>4281</v>
      </c>
      <c r="N486">
        <v>60.04</v>
      </c>
      <c r="O486">
        <f t="shared" si="42"/>
        <v>60.04</v>
      </c>
      <c r="P486" t="str">
        <f t="shared" si="43"/>
        <v>May</v>
      </c>
      <c r="Q486" t="str">
        <f t="shared" si="44"/>
        <v>Q2</v>
      </c>
      <c r="R486" s="5" t="str">
        <f t="shared" si="45"/>
        <v>Small</v>
      </c>
      <c r="S486" s="5" t="str">
        <f t="shared" si="46"/>
        <v>Pending</v>
      </c>
      <c r="T486" s="5" t="str">
        <f t="shared" si="47"/>
        <v>Yes</v>
      </c>
    </row>
    <row r="487" spans="1:20"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c r="O487">
        <f t="shared" si="42"/>
        <v>1214.3700000000001</v>
      </c>
      <c r="P487" t="str">
        <f t="shared" si="43"/>
        <v>Aug</v>
      </c>
      <c r="Q487" t="str">
        <f t="shared" si="44"/>
        <v>Q3</v>
      </c>
      <c r="R487" s="5" t="str">
        <f t="shared" si="45"/>
        <v>Large</v>
      </c>
      <c r="S487" s="5" t="str">
        <f t="shared" si="46"/>
        <v>Pending</v>
      </c>
      <c r="T487" s="5" t="str">
        <f t="shared" si="47"/>
        <v>Yes</v>
      </c>
    </row>
    <row r="488" spans="1:20"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c r="O488">
        <f t="shared" si="42"/>
        <v>2445.04</v>
      </c>
      <c r="P488" t="str">
        <f t="shared" si="43"/>
        <v>Feb</v>
      </c>
      <c r="Q488" t="str">
        <f t="shared" si="44"/>
        <v>Q1</v>
      </c>
      <c r="R488" s="5" t="str">
        <f t="shared" si="45"/>
        <v>Large</v>
      </c>
      <c r="S488" s="5" t="str">
        <f t="shared" si="46"/>
        <v>Pending</v>
      </c>
      <c r="T488" s="5" t="str">
        <f t="shared" si="47"/>
        <v>Yes</v>
      </c>
    </row>
    <row r="489" spans="1:20"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c r="O489">
        <f t="shared" si="42"/>
        <v>1039.56</v>
      </c>
      <c r="P489" t="str">
        <f t="shared" si="43"/>
        <v>Mar</v>
      </c>
      <c r="Q489" t="str">
        <f t="shared" si="44"/>
        <v>Q1</v>
      </c>
      <c r="R489" s="5" t="str">
        <f t="shared" si="45"/>
        <v>Large</v>
      </c>
      <c r="S489" s="5" t="str">
        <f t="shared" si="46"/>
        <v>Pending</v>
      </c>
      <c r="T489" s="5" t="str">
        <f t="shared" si="47"/>
        <v>Yes</v>
      </c>
    </row>
    <row r="490" spans="1:20"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c r="O490">
        <f t="shared" si="42"/>
        <v>36.65</v>
      </c>
      <c r="P490" t="str">
        <f t="shared" si="43"/>
        <v>Dec</v>
      </c>
      <c r="Q490" t="str">
        <f t="shared" si="44"/>
        <v>Q4</v>
      </c>
      <c r="R490" s="5" t="str">
        <f t="shared" si="45"/>
        <v>Small</v>
      </c>
      <c r="S490" s="5" t="str">
        <f t="shared" si="46"/>
        <v>Pending</v>
      </c>
      <c r="T490" s="5" t="str">
        <f t="shared" si="47"/>
        <v>Yes</v>
      </c>
    </row>
    <row r="491" spans="1:20"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c r="O491">
        <f t="shared" si="42"/>
        <v>448.02</v>
      </c>
      <c r="P491" t="str">
        <f t="shared" si="43"/>
        <v>Sep</v>
      </c>
      <c r="Q491" t="str">
        <f t="shared" si="44"/>
        <v>Q3</v>
      </c>
      <c r="R491" s="5" t="str">
        <f t="shared" si="45"/>
        <v>Medium</v>
      </c>
      <c r="S491" s="5" t="str">
        <f t="shared" si="46"/>
        <v>Pending</v>
      </c>
      <c r="T491" s="5" t="str">
        <f t="shared" si="47"/>
        <v>Yes</v>
      </c>
    </row>
    <row r="492" spans="1:20" x14ac:dyDescent="0.35">
      <c r="A492" t="s">
        <v>504</v>
      </c>
      <c r="B492" s="2">
        <v>45495</v>
      </c>
      <c r="C492" t="s">
        <v>1704</v>
      </c>
      <c r="D492" t="s">
        <v>2406</v>
      </c>
      <c r="E492">
        <v>5</v>
      </c>
      <c r="F492">
        <v>467.81</v>
      </c>
      <c r="G492" t="s">
        <v>2786</v>
      </c>
      <c r="H492" t="s">
        <v>3066</v>
      </c>
      <c r="I492" t="s">
        <v>3071</v>
      </c>
      <c r="J492" t="s">
        <v>3565</v>
      </c>
      <c r="K492">
        <v>10</v>
      </c>
      <c r="L492" t="s">
        <v>4329</v>
      </c>
      <c r="M492" t="s">
        <v>4281</v>
      </c>
      <c r="N492">
        <v>2339.0500000000002</v>
      </c>
      <c r="O492">
        <f t="shared" si="42"/>
        <v>2339.0500000000002</v>
      </c>
      <c r="P492" t="str">
        <f t="shared" si="43"/>
        <v>Jul</v>
      </c>
      <c r="Q492" t="str">
        <f t="shared" si="44"/>
        <v>Q3</v>
      </c>
      <c r="R492" s="5" t="str">
        <f t="shared" si="45"/>
        <v>Large</v>
      </c>
      <c r="S492" s="5" t="str">
        <f t="shared" si="46"/>
        <v>Pending</v>
      </c>
      <c r="T492" s="5" t="str">
        <f t="shared" si="47"/>
        <v>Yes</v>
      </c>
    </row>
    <row r="493" spans="1:20"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c r="O493">
        <f t="shared" si="42"/>
        <v>2103.5</v>
      </c>
      <c r="P493" t="str">
        <f t="shared" si="43"/>
        <v>Jan</v>
      </c>
      <c r="Q493" t="str">
        <f t="shared" si="44"/>
        <v>Q1</v>
      </c>
      <c r="R493" s="5" t="str">
        <f t="shared" si="45"/>
        <v>Large</v>
      </c>
      <c r="S493" s="5" t="str">
        <f t="shared" si="46"/>
        <v>Pending</v>
      </c>
      <c r="T493" s="5" t="str">
        <f t="shared" si="47"/>
        <v>Yes</v>
      </c>
    </row>
    <row r="494" spans="1:20"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c r="O494">
        <f t="shared" si="42"/>
        <v>3032.6</v>
      </c>
      <c r="P494" t="str">
        <f t="shared" si="43"/>
        <v>Oct</v>
      </c>
      <c r="Q494" t="str">
        <f t="shared" si="44"/>
        <v>Q4</v>
      </c>
      <c r="R494" s="5" t="str">
        <f t="shared" si="45"/>
        <v>Large</v>
      </c>
      <c r="S494" s="5" t="str">
        <f t="shared" si="46"/>
        <v>Pending</v>
      </c>
      <c r="T494" s="5" t="str">
        <f t="shared" si="47"/>
        <v>Yes</v>
      </c>
    </row>
    <row r="495" spans="1:20"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c r="O495">
        <f t="shared" si="42"/>
        <v>420.26</v>
      </c>
      <c r="P495" t="str">
        <f t="shared" si="43"/>
        <v>Jan</v>
      </c>
      <c r="Q495" t="str">
        <f t="shared" si="44"/>
        <v>Q1</v>
      </c>
      <c r="R495" s="5" t="str">
        <f t="shared" si="45"/>
        <v>Medium</v>
      </c>
      <c r="S495" s="5" t="str">
        <f t="shared" si="46"/>
        <v>Pending</v>
      </c>
      <c r="T495" s="5" t="str">
        <f t="shared" si="47"/>
        <v>Yes</v>
      </c>
    </row>
    <row r="496" spans="1:20"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c r="O496">
        <f t="shared" si="42"/>
        <v>1517.3700000000001</v>
      </c>
      <c r="P496" t="str">
        <f t="shared" si="43"/>
        <v>Jul</v>
      </c>
      <c r="Q496" t="str">
        <f t="shared" si="44"/>
        <v>Q3</v>
      </c>
      <c r="R496" s="5" t="str">
        <f t="shared" si="45"/>
        <v>Large</v>
      </c>
      <c r="S496" s="5" t="str">
        <f t="shared" si="46"/>
        <v>Pending</v>
      </c>
      <c r="T496" s="5" t="str">
        <f t="shared" si="47"/>
        <v>Yes</v>
      </c>
    </row>
    <row r="497" spans="1:20"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c r="O497">
        <f t="shared" si="42"/>
        <v>1974.92</v>
      </c>
      <c r="P497" t="str">
        <f t="shared" si="43"/>
        <v>Jun</v>
      </c>
      <c r="Q497" t="str">
        <f t="shared" si="44"/>
        <v>Q2</v>
      </c>
      <c r="R497" s="5" t="str">
        <f t="shared" si="45"/>
        <v>Large</v>
      </c>
      <c r="S497" s="5" t="str">
        <f t="shared" si="46"/>
        <v>Pending</v>
      </c>
      <c r="T497" s="5" t="str">
        <f t="shared" si="47"/>
        <v>Yes</v>
      </c>
    </row>
    <row r="498" spans="1:20"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c r="O498">
        <f t="shared" si="42"/>
        <v>603.63</v>
      </c>
      <c r="P498" t="str">
        <f t="shared" si="43"/>
        <v>Mar</v>
      </c>
      <c r="Q498" t="str">
        <f t="shared" si="44"/>
        <v>Q1</v>
      </c>
      <c r="R498" s="5" t="str">
        <f t="shared" si="45"/>
        <v>Large</v>
      </c>
      <c r="S498" s="5" t="str">
        <f t="shared" si="46"/>
        <v>Pending</v>
      </c>
      <c r="T498" s="5" t="str">
        <f t="shared" si="47"/>
        <v>Yes</v>
      </c>
    </row>
    <row r="499" spans="1:20" x14ac:dyDescent="0.35">
      <c r="A499" t="s">
        <v>511</v>
      </c>
      <c r="B499" s="2">
        <v>45589</v>
      </c>
      <c r="C499" t="s">
        <v>1711</v>
      </c>
      <c r="D499" t="s">
        <v>2407</v>
      </c>
      <c r="E499">
        <v>3</v>
      </c>
      <c r="F499">
        <v>112.29</v>
      </c>
      <c r="G499" t="s">
        <v>2790</v>
      </c>
      <c r="H499" t="s">
        <v>3068</v>
      </c>
      <c r="I499" t="s">
        <v>3070</v>
      </c>
      <c r="J499" t="s">
        <v>3572</v>
      </c>
      <c r="K499">
        <v>6</v>
      </c>
      <c r="L499" t="s">
        <v>4329</v>
      </c>
      <c r="M499" t="s">
        <v>4282</v>
      </c>
      <c r="N499">
        <v>336.87</v>
      </c>
      <c r="O499">
        <f t="shared" si="42"/>
        <v>336.87</v>
      </c>
      <c r="P499" t="str">
        <f t="shared" si="43"/>
        <v>Oct</v>
      </c>
      <c r="Q499" t="str">
        <f t="shared" si="44"/>
        <v>Q4</v>
      </c>
      <c r="R499" s="5" t="str">
        <f t="shared" si="45"/>
        <v>Medium</v>
      </c>
      <c r="S499" s="5" t="str">
        <f t="shared" si="46"/>
        <v>Pending</v>
      </c>
      <c r="T499" s="5" t="str">
        <f t="shared" si="47"/>
        <v>Yes</v>
      </c>
    </row>
    <row r="500" spans="1:20"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c r="O500">
        <f t="shared" si="42"/>
        <v>530.24</v>
      </c>
      <c r="P500" t="str">
        <f t="shared" si="43"/>
        <v>Jul</v>
      </c>
      <c r="Q500" t="str">
        <f t="shared" si="44"/>
        <v>Q3</v>
      </c>
      <c r="R500" s="5" t="str">
        <f t="shared" si="45"/>
        <v>Large</v>
      </c>
      <c r="S500" s="5" t="str">
        <f t="shared" si="46"/>
        <v>Pending</v>
      </c>
      <c r="T500" s="5" t="str">
        <f t="shared" si="47"/>
        <v>Yes</v>
      </c>
    </row>
    <row r="501" spans="1:20"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c r="O501">
        <f t="shared" si="42"/>
        <v>1618.38</v>
      </c>
      <c r="P501" t="str">
        <f t="shared" si="43"/>
        <v>Apr</v>
      </c>
      <c r="Q501" t="str">
        <f t="shared" si="44"/>
        <v>Q2</v>
      </c>
      <c r="R501" s="5" t="str">
        <f t="shared" si="45"/>
        <v>Large</v>
      </c>
      <c r="S501" s="5" t="str">
        <f t="shared" si="46"/>
        <v>Pending</v>
      </c>
      <c r="T501" s="5" t="str">
        <f t="shared" si="47"/>
        <v>Yes</v>
      </c>
    </row>
    <row r="502" spans="1:20"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c r="O502">
        <f t="shared" si="42"/>
        <v>2542.9499999999998</v>
      </c>
      <c r="P502" t="str">
        <f t="shared" si="43"/>
        <v>Apr</v>
      </c>
      <c r="Q502" t="str">
        <f t="shared" si="44"/>
        <v>Q2</v>
      </c>
      <c r="R502" s="5" t="str">
        <f t="shared" si="45"/>
        <v>Large</v>
      </c>
      <c r="S502" s="5" t="str">
        <f t="shared" si="46"/>
        <v>Pending</v>
      </c>
      <c r="T502" s="5" t="str">
        <f t="shared" si="47"/>
        <v>Yes</v>
      </c>
    </row>
    <row r="503" spans="1:20"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c r="O503">
        <f t="shared" si="42"/>
        <v>813.84</v>
      </c>
      <c r="P503" t="str">
        <f t="shared" si="43"/>
        <v>Feb</v>
      </c>
      <c r="Q503" t="str">
        <f t="shared" si="44"/>
        <v>Q1</v>
      </c>
      <c r="R503" s="5" t="str">
        <f t="shared" si="45"/>
        <v>Large</v>
      </c>
      <c r="S503" s="5" t="str">
        <f t="shared" si="46"/>
        <v>Pending</v>
      </c>
      <c r="T503" s="5" t="str">
        <f t="shared" si="47"/>
        <v>Yes</v>
      </c>
    </row>
    <row r="504" spans="1:20"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c r="O504">
        <f t="shared" si="42"/>
        <v>1695.75</v>
      </c>
      <c r="P504" t="str">
        <f t="shared" si="43"/>
        <v>May</v>
      </c>
      <c r="Q504" t="str">
        <f t="shared" si="44"/>
        <v>Q2</v>
      </c>
      <c r="R504" s="5" t="str">
        <f t="shared" si="45"/>
        <v>Large</v>
      </c>
      <c r="S504" s="5" t="str">
        <f t="shared" si="46"/>
        <v>Pending</v>
      </c>
      <c r="T504" s="5" t="str">
        <f t="shared" si="47"/>
        <v>Yes</v>
      </c>
    </row>
    <row r="505" spans="1:20"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c r="O505">
        <f t="shared" si="42"/>
        <v>410.52</v>
      </c>
      <c r="P505" t="str">
        <f t="shared" si="43"/>
        <v>Aug</v>
      </c>
      <c r="Q505" t="str">
        <f t="shared" si="44"/>
        <v>Q3</v>
      </c>
      <c r="R505" s="5" t="str">
        <f t="shared" si="45"/>
        <v>Medium</v>
      </c>
      <c r="S505" s="5" t="str">
        <f t="shared" si="46"/>
        <v>Pending</v>
      </c>
      <c r="T505" s="5" t="str">
        <f t="shared" si="47"/>
        <v>Yes</v>
      </c>
    </row>
    <row r="506" spans="1:20"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c r="O506">
        <f t="shared" si="42"/>
        <v>929</v>
      </c>
      <c r="P506" t="str">
        <f t="shared" si="43"/>
        <v>Jun</v>
      </c>
      <c r="Q506" t="str">
        <f t="shared" si="44"/>
        <v>Q2</v>
      </c>
      <c r="R506" s="5" t="str">
        <f t="shared" si="45"/>
        <v>Large</v>
      </c>
      <c r="S506" s="5" t="str">
        <f t="shared" si="46"/>
        <v>Pending</v>
      </c>
      <c r="T506" s="5" t="str">
        <f t="shared" si="47"/>
        <v>Yes</v>
      </c>
    </row>
    <row r="507" spans="1:20" x14ac:dyDescent="0.35">
      <c r="A507" t="s">
        <v>519</v>
      </c>
      <c r="B507" s="2">
        <v>45088</v>
      </c>
      <c r="C507" t="s">
        <v>1719</v>
      </c>
      <c r="D507" t="s">
        <v>2407</v>
      </c>
      <c r="E507">
        <v>2</v>
      </c>
      <c r="F507">
        <v>434.97</v>
      </c>
      <c r="G507" t="s">
        <v>2727</v>
      </c>
      <c r="H507" t="s">
        <v>3066</v>
      </c>
      <c r="I507" t="s">
        <v>3070</v>
      </c>
      <c r="J507" t="s">
        <v>3580</v>
      </c>
      <c r="K507">
        <v>7</v>
      </c>
      <c r="L507" t="s">
        <v>4329</v>
      </c>
      <c r="M507" t="s">
        <v>4280</v>
      </c>
      <c r="N507">
        <v>869.94</v>
      </c>
      <c r="O507">
        <f t="shared" si="42"/>
        <v>869.94</v>
      </c>
      <c r="P507" t="str">
        <f t="shared" si="43"/>
        <v>Jun</v>
      </c>
      <c r="Q507" t="str">
        <f t="shared" si="44"/>
        <v>Q2</v>
      </c>
      <c r="R507" s="5" t="str">
        <f t="shared" si="45"/>
        <v>Large</v>
      </c>
      <c r="S507" s="5" t="str">
        <f t="shared" si="46"/>
        <v>Pending</v>
      </c>
      <c r="T507" s="5" t="str">
        <f t="shared" si="47"/>
        <v>Yes</v>
      </c>
    </row>
    <row r="508" spans="1:20"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c r="O508">
        <f t="shared" si="42"/>
        <v>87.34</v>
      </c>
      <c r="P508" t="str">
        <f t="shared" si="43"/>
        <v>Jul</v>
      </c>
      <c r="Q508" t="str">
        <f t="shared" si="44"/>
        <v>Q3</v>
      </c>
      <c r="R508" s="5" t="str">
        <f t="shared" si="45"/>
        <v>Small</v>
      </c>
      <c r="S508" s="5" t="str">
        <f t="shared" si="46"/>
        <v>Pending</v>
      </c>
      <c r="T508" s="5" t="str">
        <f t="shared" si="47"/>
        <v>Yes</v>
      </c>
    </row>
    <row r="509" spans="1:20"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c r="O509">
        <f t="shared" si="42"/>
        <v>171.59</v>
      </c>
      <c r="P509" t="str">
        <f t="shared" si="43"/>
        <v>Jul</v>
      </c>
      <c r="Q509" t="str">
        <f t="shared" si="44"/>
        <v>Q3</v>
      </c>
      <c r="R509" s="5" t="str">
        <f t="shared" si="45"/>
        <v>Medium</v>
      </c>
      <c r="S509" s="5" t="str">
        <f t="shared" si="46"/>
        <v>Pending</v>
      </c>
      <c r="T509" s="5" t="str">
        <f t="shared" si="47"/>
        <v>Yes</v>
      </c>
    </row>
    <row r="510" spans="1:20" x14ac:dyDescent="0.35">
      <c r="A510" t="s">
        <v>522</v>
      </c>
      <c r="B510" s="2">
        <v>45791</v>
      </c>
      <c r="C510" t="s">
        <v>1722</v>
      </c>
      <c r="D510" t="s">
        <v>2404</v>
      </c>
      <c r="E510">
        <v>1</v>
      </c>
      <c r="F510">
        <v>558.27</v>
      </c>
      <c r="G510" t="s">
        <v>2797</v>
      </c>
      <c r="H510" t="s">
        <v>3066</v>
      </c>
      <c r="I510" t="s">
        <v>3073</v>
      </c>
      <c r="J510" t="s">
        <v>3583</v>
      </c>
      <c r="K510">
        <v>1</v>
      </c>
      <c r="L510" t="s">
        <v>4329</v>
      </c>
      <c r="M510" t="s">
        <v>4279</v>
      </c>
      <c r="N510">
        <v>558.27</v>
      </c>
      <c r="O510">
        <f t="shared" si="42"/>
        <v>558.27</v>
      </c>
      <c r="P510" t="str">
        <f t="shared" si="43"/>
        <v>May</v>
      </c>
      <c r="Q510" t="str">
        <f t="shared" si="44"/>
        <v>Q2</v>
      </c>
      <c r="R510" s="5" t="str">
        <f t="shared" si="45"/>
        <v>Large</v>
      </c>
      <c r="S510" s="5" t="str">
        <f t="shared" si="46"/>
        <v>Completed</v>
      </c>
      <c r="T510" s="5" t="str">
        <f t="shared" si="47"/>
        <v>Yes</v>
      </c>
    </row>
    <row r="511" spans="1:20"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c r="O511">
        <f t="shared" si="42"/>
        <v>850.06</v>
      </c>
      <c r="P511" t="str">
        <f t="shared" si="43"/>
        <v>Feb</v>
      </c>
      <c r="Q511" t="str">
        <f t="shared" si="44"/>
        <v>Q1</v>
      </c>
      <c r="R511" s="5" t="str">
        <f t="shared" si="45"/>
        <v>Large</v>
      </c>
      <c r="S511" s="5" t="str">
        <f t="shared" si="46"/>
        <v>Pending</v>
      </c>
      <c r="T511" s="5" t="str">
        <f t="shared" si="47"/>
        <v>Yes</v>
      </c>
    </row>
    <row r="512" spans="1:20"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c r="O512">
        <f t="shared" si="42"/>
        <v>376.76</v>
      </c>
      <c r="P512" t="str">
        <f t="shared" si="43"/>
        <v>Dec</v>
      </c>
      <c r="Q512" t="str">
        <f t="shared" si="44"/>
        <v>Q4</v>
      </c>
      <c r="R512" s="5" t="str">
        <f t="shared" si="45"/>
        <v>Medium</v>
      </c>
      <c r="S512" s="5" t="str">
        <f t="shared" si="46"/>
        <v>Completed</v>
      </c>
      <c r="T512" s="5" t="str">
        <f t="shared" si="47"/>
        <v>Yes</v>
      </c>
    </row>
    <row r="513" spans="1:20"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c r="O513">
        <f t="shared" si="42"/>
        <v>2876.2</v>
      </c>
      <c r="P513" t="str">
        <f t="shared" si="43"/>
        <v>Mar</v>
      </c>
      <c r="Q513" t="str">
        <f t="shared" si="44"/>
        <v>Q1</v>
      </c>
      <c r="R513" s="5" t="str">
        <f t="shared" si="45"/>
        <v>Large</v>
      </c>
      <c r="S513" s="5" t="str">
        <f t="shared" si="46"/>
        <v>Completed</v>
      </c>
      <c r="T513" s="5" t="str">
        <f t="shared" si="47"/>
        <v>Yes</v>
      </c>
    </row>
    <row r="514" spans="1:20"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c r="O514">
        <f t="shared" ref="O514:O577" si="48">E514*F514</f>
        <v>1704.06</v>
      </c>
      <c r="P514" t="str">
        <f t="shared" ref="P514:P577" si="49">TEXT(B514, "mmm")</f>
        <v>Sep</v>
      </c>
      <c r="Q514" t="str">
        <f t="shared" ref="Q514:Q577" si="50">"Q"&amp;ROUNDUP(MONTH(B514)/3,0)</f>
        <v>Q3</v>
      </c>
      <c r="R514" s="5" t="str">
        <f t="shared" ref="R514:R577" si="51">IF(N514&lt;100,"Small", IF(N514&lt;500, "Medium", "Large"))</f>
        <v>Large</v>
      </c>
      <c r="S514" s="5" t="str">
        <f t="shared" ref="S514:S577" si="52">IF(I514="Delivered","Completed","Pending")</f>
        <v>Pending</v>
      </c>
      <c r="T514" s="5" t="str">
        <f t="shared" ref="T514:T577" si="53">IF(L514="","No", "Yes")</f>
        <v>Yes</v>
      </c>
    </row>
    <row r="515" spans="1:20" x14ac:dyDescent="0.35">
      <c r="A515" t="s">
        <v>527</v>
      </c>
      <c r="B515" s="2">
        <v>45697</v>
      </c>
      <c r="C515" t="s">
        <v>1727</v>
      </c>
      <c r="D515" t="s">
        <v>2405</v>
      </c>
      <c r="E515">
        <v>3</v>
      </c>
      <c r="F515">
        <v>94.88</v>
      </c>
      <c r="G515" t="s">
        <v>2501</v>
      </c>
      <c r="H515" t="s">
        <v>3068</v>
      </c>
      <c r="I515" t="s">
        <v>3070</v>
      </c>
      <c r="J515" t="s">
        <v>3588</v>
      </c>
      <c r="K515">
        <v>8</v>
      </c>
      <c r="L515" t="s">
        <v>4329</v>
      </c>
      <c r="M515" t="s">
        <v>4279</v>
      </c>
      <c r="N515">
        <v>284.64</v>
      </c>
      <c r="O515">
        <f t="shared" si="48"/>
        <v>284.64</v>
      </c>
      <c r="P515" t="str">
        <f t="shared" si="49"/>
        <v>Feb</v>
      </c>
      <c r="Q515" t="str">
        <f t="shared" si="50"/>
        <v>Q1</v>
      </c>
      <c r="R515" s="5" t="str">
        <f t="shared" si="51"/>
        <v>Medium</v>
      </c>
      <c r="S515" s="5" t="str">
        <f t="shared" si="52"/>
        <v>Pending</v>
      </c>
      <c r="T515" s="5" t="str">
        <f t="shared" si="53"/>
        <v>Yes</v>
      </c>
    </row>
    <row r="516" spans="1:20"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c r="O516">
        <f t="shared" si="48"/>
        <v>912.44999999999993</v>
      </c>
      <c r="P516" t="str">
        <f t="shared" si="49"/>
        <v>Apr</v>
      </c>
      <c r="Q516" t="str">
        <f t="shared" si="50"/>
        <v>Q2</v>
      </c>
      <c r="R516" s="5" t="str">
        <f t="shared" si="51"/>
        <v>Large</v>
      </c>
      <c r="S516" s="5" t="str">
        <f t="shared" si="52"/>
        <v>Pending</v>
      </c>
      <c r="T516" s="5" t="str">
        <f t="shared" si="53"/>
        <v>Yes</v>
      </c>
    </row>
    <row r="517" spans="1:20"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c r="O517">
        <f t="shared" si="48"/>
        <v>1660.56</v>
      </c>
      <c r="P517" t="str">
        <f t="shared" si="49"/>
        <v>Mar</v>
      </c>
      <c r="Q517" t="str">
        <f t="shared" si="50"/>
        <v>Q1</v>
      </c>
      <c r="R517" s="5" t="str">
        <f t="shared" si="51"/>
        <v>Large</v>
      </c>
      <c r="S517" s="5" t="str">
        <f t="shared" si="52"/>
        <v>Pending</v>
      </c>
      <c r="T517" s="5" t="str">
        <f t="shared" si="53"/>
        <v>Yes</v>
      </c>
    </row>
    <row r="518" spans="1:20" x14ac:dyDescent="0.35">
      <c r="A518" t="s">
        <v>530</v>
      </c>
      <c r="B518" s="2">
        <v>45389</v>
      </c>
      <c r="C518" t="s">
        <v>1730</v>
      </c>
      <c r="D518" t="s">
        <v>2403</v>
      </c>
      <c r="E518">
        <v>3</v>
      </c>
      <c r="F518">
        <v>166.99</v>
      </c>
      <c r="G518" t="s">
        <v>2659</v>
      </c>
      <c r="H518" t="s">
        <v>3069</v>
      </c>
      <c r="I518" t="s">
        <v>3072</v>
      </c>
      <c r="J518" t="s">
        <v>3591</v>
      </c>
      <c r="K518">
        <v>8</v>
      </c>
      <c r="L518" t="s">
        <v>4329</v>
      </c>
      <c r="M518" t="s">
        <v>4281</v>
      </c>
      <c r="N518">
        <v>500.97</v>
      </c>
      <c r="O518">
        <f t="shared" si="48"/>
        <v>500.97</v>
      </c>
      <c r="P518" t="str">
        <f t="shared" si="49"/>
        <v>Apr</v>
      </c>
      <c r="Q518" t="str">
        <f t="shared" si="50"/>
        <v>Q2</v>
      </c>
      <c r="R518" s="5" t="str">
        <f t="shared" si="51"/>
        <v>Large</v>
      </c>
      <c r="S518" s="5" t="str">
        <f t="shared" si="52"/>
        <v>Pending</v>
      </c>
      <c r="T518" s="5" t="str">
        <f t="shared" si="53"/>
        <v>Yes</v>
      </c>
    </row>
    <row r="519" spans="1:20"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c r="O519">
        <f t="shared" si="48"/>
        <v>793.4</v>
      </c>
      <c r="P519" t="str">
        <f t="shared" si="49"/>
        <v>Apr</v>
      </c>
      <c r="Q519" t="str">
        <f t="shared" si="50"/>
        <v>Q2</v>
      </c>
      <c r="R519" s="5" t="str">
        <f t="shared" si="51"/>
        <v>Large</v>
      </c>
      <c r="S519" s="5" t="str">
        <f t="shared" si="52"/>
        <v>Pending</v>
      </c>
      <c r="T519" s="5" t="str">
        <f t="shared" si="53"/>
        <v>Yes</v>
      </c>
    </row>
    <row r="520" spans="1:20"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c r="O520">
        <f t="shared" si="48"/>
        <v>1614.32</v>
      </c>
      <c r="P520" t="str">
        <f t="shared" si="49"/>
        <v>Jun</v>
      </c>
      <c r="Q520" t="str">
        <f t="shared" si="50"/>
        <v>Q2</v>
      </c>
      <c r="R520" s="5" t="str">
        <f t="shared" si="51"/>
        <v>Large</v>
      </c>
      <c r="S520" s="5" t="str">
        <f t="shared" si="52"/>
        <v>Pending</v>
      </c>
      <c r="T520" s="5" t="str">
        <f t="shared" si="53"/>
        <v>Yes</v>
      </c>
    </row>
    <row r="521" spans="1:20"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c r="O521">
        <f t="shared" si="48"/>
        <v>1857.16</v>
      </c>
      <c r="P521" t="str">
        <f t="shared" si="49"/>
        <v>May</v>
      </c>
      <c r="Q521" t="str">
        <f t="shared" si="50"/>
        <v>Q2</v>
      </c>
      <c r="R521" s="5" t="str">
        <f t="shared" si="51"/>
        <v>Large</v>
      </c>
      <c r="S521" s="5" t="str">
        <f t="shared" si="52"/>
        <v>Pending</v>
      </c>
      <c r="T521" s="5" t="str">
        <f t="shared" si="53"/>
        <v>Yes</v>
      </c>
    </row>
    <row r="522" spans="1:20" x14ac:dyDescent="0.35">
      <c r="A522" t="s">
        <v>534</v>
      </c>
      <c r="B522" s="2">
        <v>44995</v>
      </c>
      <c r="C522" t="s">
        <v>1734</v>
      </c>
      <c r="D522" t="s">
        <v>2403</v>
      </c>
      <c r="E522">
        <v>3</v>
      </c>
      <c r="F522">
        <v>635.98</v>
      </c>
      <c r="G522" t="s">
        <v>2801</v>
      </c>
      <c r="H522" t="s">
        <v>3069</v>
      </c>
      <c r="I522" t="s">
        <v>3072</v>
      </c>
      <c r="J522" t="s">
        <v>3595</v>
      </c>
      <c r="K522">
        <v>5</v>
      </c>
      <c r="L522" t="s">
        <v>4329</v>
      </c>
      <c r="M522" t="s">
        <v>4279</v>
      </c>
      <c r="N522">
        <v>1907.94</v>
      </c>
      <c r="O522">
        <f t="shared" si="48"/>
        <v>1907.94</v>
      </c>
      <c r="P522" t="str">
        <f t="shared" si="49"/>
        <v>Mar</v>
      </c>
      <c r="Q522" t="str">
        <f t="shared" si="50"/>
        <v>Q1</v>
      </c>
      <c r="R522" s="5" t="str">
        <f t="shared" si="51"/>
        <v>Large</v>
      </c>
      <c r="S522" s="5" t="str">
        <f t="shared" si="52"/>
        <v>Pending</v>
      </c>
      <c r="T522" s="5" t="str">
        <f t="shared" si="53"/>
        <v>Yes</v>
      </c>
    </row>
    <row r="523" spans="1:20" x14ac:dyDescent="0.35">
      <c r="A523" t="s">
        <v>535</v>
      </c>
      <c r="B523" s="2">
        <v>45347</v>
      </c>
      <c r="C523" t="s">
        <v>1735</v>
      </c>
      <c r="D523" t="s">
        <v>2404</v>
      </c>
      <c r="E523">
        <v>1</v>
      </c>
      <c r="F523">
        <v>528.05999999999995</v>
      </c>
      <c r="G523" t="s">
        <v>2802</v>
      </c>
      <c r="H523" t="s">
        <v>3067</v>
      </c>
      <c r="I523" t="s">
        <v>3070</v>
      </c>
      <c r="J523" t="s">
        <v>3596</v>
      </c>
      <c r="K523">
        <v>2</v>
      </c>
      <c r="L523" t="s">
        <v>4329</v>
      </c>
      <c r="M523" t="s">
        <v>4281</v>
      </c>
      <c r="N523">
        <v>528.05999999999995</v>
      </c>
      <c r="O523">
        <f t="shared" si="48"/>
        <v>528.05999999999995</v>
      </c>
      <c r="P523" t="str">
        <f t="shared" si="49"/>
        <v>Feb</v>
      </c>
      <c r="Q523" t="str">
        <f t="shared" si="50"/>
        <v>Q1</v>
      </c>
      <c r="R523" s="5" t="str">
        <f t="shared" si="51"/>
        <v>Large</v>
      </c>
      <c r="S523" s="5" t="str">
        <f t="shared" si="52"/>
        <v>Pending</v>
      </c>
      <c r="T523" s="5" t="str">
        <f t="shared" si="53"/>
        <v>Yes</v>
      </c>
    </row>
    <row r="524" spans="1:20"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c r="O524">
        <f t="shared" si="48"/>
        <v>515.32000000000005</v>
      </c>
      <c r="P524" t="str">
        <f t="shared" si="49"/>
        <v>Apr</v>
      </c>
      <c r="Q524" t="str">
        <f t="shared" si="50"/>
        <v>Q2</v>
      </c>
      <c r="R524" s="5" t="str">
        <f t="shared" si="51"/>
        <v>Large</v>
      </c>
      <c r="S524" s="5" t="str">
        <f t="shared" si="52"/>
        <v>Pending</v>
      </c>
      <c r="T524" s="5" t="str">
        <f t="shared" si="53"/>
        <v>Yes</v>
      </c>
    </row>
    <row r="525" spans="1:20"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c r="O525">
        <f t="shared" si="48"/>
        <v>2631.16</v>
      </c>
      <c r="P525" t="str">
        <f t="shared" si="49"/>
        <v>Feb</v>
      </c>
      <c r="Q525" t="str">
        <f t="shared" si="50"/>
        <v>Q1</v>
      </c>
      <c r="R525" s="5" t="str">
        <f t="shared" si="51"/>
        <v>Large</v>
      </c>
      <c r="S525" s="5" t="str">
        <f t="shared" si="52"/>
        <v>Pending</v>
      </c>
      <c r="T525" s="5" t="str">
        <f t="shared" si="53"/>
        <v>Yes</v>
      </c>
    </row>
    <row r="526" spans="1:20" x14ac:dyDescent="0.35">
      <c r="A526" t="s">
        <v>538</v>
      </c>
      <c r="B526" s="2">
        <v>45224</v>
      </c>
      <c r="C526" t="s">
        <v>1738</v>
      </c>
      <c r="D526" t="s">
        <v>2404</v>
      </c>
      <c r="E526">
        <v>1</v>
      </c>
      <c r="F526">
        <v>153</v>
      </c>
      <c r="G526" t="s">
        <v>2483</v>
      </c>
      <c r="H526" t="s">
        <v>3067</v>
      </c>
      <c r="I526" t="s">
        <v>3072</v>
      </c>
      <c r="J526" t="s">
        <v>3599</v>
      </c>
      <c r="K526">
        <v>4</v>
      </c>
      <c r="L526" t="s">
        <v>4329</v>
      </c>
      <c r="M526" t="s">
        <v>4279</v>
      </c>
      <c r="N526">
        <v>153</v>
      </c>
      <c r="O526">
        <f t="shared" si="48"/>
        <v>153</v>
      </c>
      <c r="P526" t="str">
        <f t="shared" si="49"/>
        <v>Oct</v>
      </c>
      <c r="Q526" t="str">
        <f t="shared" si="50"/>
        <v>Q4</v>
      </c>
      <c r="R526" s="5" t="str">
        <f t="shared" si="51"/>
        <v>Medium</v>
      </c>
      <c r="S526" s="5" t="str">
        <f t="shared" si="52"/>
        <v>Pending</v>
      </c>
      <c r="T526" s="5" t="str">
        <f t="shared" si="53"/>
        <v>Yes</v>
      </c>
    </row>
    <row r="527" spans="1:20"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c r="O527">
        <f t="shared" si="48"/>
        <v>668.48</v>
      </c>
      <c r="P527" t="str">
        <f t="shared" si="49"/>
        <v>Dec</v>
      </c>
      <c r="Q527" t="str">
        <f t="shared" si="50"/>
        <v>Q4</v>
      </c>
      <c r="R527" s="5" t="str">
        <f t="shared" si="51"/>
        <v>Large</v>
      </c>
      <c r="S527" s="5" t="str">
        <f t="shared" si="52"/>
        <v>Pending</v>
      </c>
      <c r="T527" s="5" t="str">
        <f t="shared" si="53"/>
        <v>Yes</v>
      </c>
    </row>
    <row r="528" spans="1:20" x14ac:dyDescent="0.35">
      <c r="A528" t="s">
        <v>540</v>
      </c>
      <c r="B528" s="2">
        <v>45351</v>
      </c>
      <c r="C528" t="s">
        <v>1740</v>
      </c>
      <c r="D528" t="s">
        <v>2409</v>
      </c>
      <c r="E528">
        <v>2</v>
      </c>
      <c r="F528">
        <v>46.5</v>
      </c>
      <c r="G528" t="s">
        <v>2497</v>
      </c>
      <c r="H528" t="s">
        <v>3069</v>
      </c>
      <c r="I528" t="s">
        <v>3072</v>
      </c>
      <c r="J528" t="s">
        <v>3601</v>
      </c>
      <c r="K528">
        <v>7</v>
      </c>
      <c r="L528" t="s">
        <v>4277</v>
      </c>
      <c r="M528" t="s">
        <v>4282</v>
      </c>
      <c r="N528">
        <v>93</v>
      </c>
      <c r="O528">
        <f t="shared" si="48"/>
        <v>93</v>
      </c>
      <c r="P528" t="str">
        <f t="shared" si="49"/>
        <v>Feb</v>
      </c>
      <c r="Q528" t="str">
        <f t="shared" si="50"/>
        <v>Q1</v>
      </c>
      <c r="R528" s="5" t="str">
        <f t="shared" si="51"/>
        <v>Small</v>
      </c>
      <c r="S528" s="5" t="str">
        <f t="shared" si="52"/>
        <v>Pending</v>
      </c>
      <c r="T528" s="5" t="str">
        <f t="shared" si="53"/>
        <v>Yes</v>
      </c>
    </row>
    <row r="529" spans="1:20"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c r="O529">
        <f t="shared" si="48"/>
        <v>3267.3500000000004</v>
      </c>
      <c r="P529" t="str">
        <f t="shared" si="49"/>
        <v>Aug</v>
      </c>
      <c r="Q529" t="str">
        <f t="shared" si="50"/>
        <v>Q3</v>
      </c>
      <c r="R529" s="5" t="str">
        <f t="shared" si="51"/>
        <v>Large</v>
      </c>
      <c r="S529" s="5" t="str">
        <f t="shared" si="52"/>
        <v>Pending</v>
      </c>
      <c r="T529" s="5" t="str">
        <f t="shared" si="53"/>
        <v>Yes</v>
      </c>
    </row>
    <row r="530" spans="1:20"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c r="O530">
        <f t="shared" si="48"/>
        <v>628.89</v>
      </c>
      <c r="P530" t="str">
        <f t="shared" si="49"/>
        <v>Feb</v>
      </c>
      <c r="Q530" t="str">
        <f t="shared" si="50"/>
        <v>Q1</v>
      </c>
      <c r="R530" s="5" t="str">
        <f t="shared" si="51"/>
        <v>Large</v>
      </c>
      <c r="S530" s="5" t="str">
        <f t="shared" si="52"/>
        <v>Pending</v>
      </c>
      <c r="T530" s="5" t="str">
        <f t="shared" si="53"/>
        <v>Yes</v>
      </c>
    </row>
    <row r="531" spans="1:20"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c r="O531">
        <f t="shared" si="48"/>
        <v>1350.2</v>
      </c>
      <c r="P531" t="str">
        <f t="shared" si="49"/>
        <v>Apr</v>
      </c>
      <c r="Q531" t="str">
        <f t="shared" si="50"/>
        <v>Q2</v>
      </c>
      <c r="R531" s="5" t="str">
        <f t="shared" si="51"/>
        <v>Large</v>
      </c>
      <c r="S531" s="5" t="str">
        <f t="shared" si="52"/>
        <v>Pending</v>
      </c>
      <c r="T531" s="5" t="str">
        <f t="shared" si="53"/>
        <v>Yes</v>
      </c>
    </row>
    <row r="532" spans="1:20" x14ac:dyDescent="0.35">
      <c r="A532" t="s">
        <v>544</v>
      </c>
      <c r="B532" s="2">
        <v>45491</v>
      </c>
      <c r="C532" t="s">
        <v>1744</v>
      </c>
      <c r="D532" t="s">
        <v>2406</v>
      </c>
      <c r="E532">
        <v>4</v>
      </c>
      <c r="F532">
        <v>89.41</v>
      </c>
      <c r="G532" t="s">
        <v>2804</v>
      </c>
      <c r="H532" t="s">
        <v>3066</v>
      </c>
      <c r="I532" t="s">
        <v>3074</v>
      </c>
      <c r="J532" t="s">
        <v>3605</v>
      </c>
      <c r="K532">
        <v>9</v>
      </c>
      <c r="L532" t="s">
        <v>4329</v>
      </c>
      <c r="M532" t="s">
        <v>4282</v>
      </c>
      <c r="N532">
        <v>357.64</v>
      </c>
      <c r="O532">
        <f t="shared" si="48"/>
        <v>357.64</v>
      </c>
      <c r="P532" t="str">
        <f t="shared" si="49"/>
        <v>Jul</v>
      </c>
      <c r="Q532" t="str">
        <f t="shared" si="50"/>
        <v>Q3</v>
      </c>
      <c r="R532" s="5" t="str">
        <f t="shared" si="51"/>
        <v>Medium</v>
      </c>
      <c r="S532" s="5" t="str">
        <f t="shared" si="52"/>
        <v>Pending</v>
      </c>
      <c r="T532" s="5" t="str">
        <f t="shared" si="53"/>
        <v>Yes</v>
      </c>
    </row>
    <row r="533" spans="1:20" x14ac:dyDescent="0.35">
      <c r="A533" t="s">
        <v>545</v>
      </c>
      <c r="B533" s="2">
        <v>45475</v>
      </c>
      <c r="C533" t="s">
        <v>1745</v>
      </c>
      <c r="D533" t="s">
        <v>2409</v>
      </c>
      <c r="E533">
        <v>5</v>
      </c>
      <c r="F533">
        <v>320.01</v>
      </c>
      <c r="G533" t="s">
        <v>2805</v>
      </c>
      <c r="H533" t="s">
        <v>3068</v>
      </c>
      <c r="I533" t="s">
        <v>3073</v>
      </c>
      <c r="J533" t="s">
        <v>3606</v>
      </c>
      <c r="K533">
        <v>6</v>
      </c>
      <c r="L533" t="s">
        <v>4329</v>
      </c>
      <c r="M533" t="s">
        <v>4279</v>
      </c>
      <c r="N533">
        <v>1600.05</v>
      </c>
      <c r="O533">
        <f t="shared" si="48"/>
        <v>1600.05</v>
      </c>
      <c r="P533" t="str">
        <f t="shared" si="49"/>
        <v>Jul</v>
      </c>
      <c r="Q533" t="str">
        <f t="shared" si="50"/>
        <v>Q3</v>
      </c>
      <c r="R533" s="5" t="str">
        <f t="shared" si="51"/>
        <v>Large</v>
      </c>
      <c r="S533" s="5" t="str">
        <f t="shared" si="52"/>
        <v>Completed</v>
      </c>
      <c r="T533" s="5" t="str">
        <f t="shared" si="53"/>
        <v>Yes</v>
      </c>
    </row>
    <row r="534" spans="1:20" x14ac:dyDescent="0.35">
      <c r="A534" t="s">
        <v>546</v>
      </c>
      <c r="B534" s="2">
        <v>45780</v>
      </c>
      <c r="C534" t="s">
        <v>1746</v>
      </c>
      <c r="D534" t="s">
        <v>2408</v>
      </c>
      <c r="E534">
        <v>2</v>
      </c>
      <c r="F534">
        <v>41</v>
      </c>
      <c r="G534" t="s">
        <v>2806</v>
      </c>
      <c r="H534" t="s">
        <v>3066</v>
      </c>
      <c r="I534" t="s">
        <v>3073</v>
      </c>
      <c r="J534" t="s">
        <v>3607</v>
      </c>
      <c r="K534">
        <v>7</v>
      </c>
      <c r="L534" t="s">
        <v>4329</v>
      </c>
      <c r="M534" t="s">
        <v>4280</v>
      </c>
      <c r="N534">
        <v>82</v>
      </c>
      <c r="O534">
        <f t="shared" si="48"/>
        <v>82</v>
      </c>
      <c r="P534" t="str">
        <f t="shared" si="49"/>
        <v>May</v>
      </c>
      <c r="Q534" t="str">
        <f t="shared" si="50"/>
        <v>Q2</v>
      </c>
      <c r="R534" s="5" t="str">
        <f t="shared" si="51"/>
        <v>Small</v>
      </c>
      <c r="S534" s="5" t="str">
        <f t="shared" si="52"/>
        <v>Completed</v>
      </c>
      <c r="T534" s="5" t="str">
        <f t="shared" si="53"/>
        <v>Yes</v>
      </c>
    </row>
    <row r="535" spans="1:20"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c r="O535">
        <f t="shared" si="48"/>
        <v>565.85</v>
      </c>
      <c r="P535" t="str">
        <f t="shared" si="49"/>
        <v>Mar</v>
      </c>
      <c r="Q535" t="str">
        <f t="shared" si="50"/>
        <v>Q1</v>
      </c>
      <c r="R535" s="5" t="str">
        <f t="shared" si="51"/>
        <v>Large</v>
      </c>
      <c r="S535" s="5" t="str">
        <f t="shared" si="52"/>
        <v>Pending</v>
      </c>
      <c r="T535" s="5" t="str">
        <f t="shared" si="53"/>
        <v>Yes</v>
      </c>
    </row>
    <row r="536" spans="1:20"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c r="O536">
        <f t="shared" si="48"/>
        <v>1945.77</v>
      </c>
      <c r="P536" t="str">
        <f t="shared" si="49"/>
        <v>Jun</v>
      </c>
      <c r="Q536" t="str">
        <f t="shared" si="50"/>
        <v>Q2</v>
      </c>
      <c r="R536" s="5" t="str">
        <f t="shared" si="51"/>
        <v>Large</v>
      </c>
      <c r="S536" s="5" t="str">
        <f t="shared" si="52"/>
        <v>Pending</v>
      </c>
      <c r="T536" s="5" t="str">
        <f t="shared" si="53"/>
        <v>Yes</v>
      </c>
    </row>
    <row r="537" spans="1:20"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c r="O537">
        <f t="shared" si="48"/>
        <v>204.36</v>
      </c>
      <c r="P537" t="str">
        <f t="shared" si="49"/>
        <v>Jul</v>
      </c>
      <c r="Q537" t="str">
        <f t="shared" si="50"/>
        <v>Q3</v>
      </c>
      <c r="R537" s="5" t="str">
        <f t="shared" si="51"/>
        <v>Medium</v>
      </c>
      <c r="S537" s="5" t="str">
        <f t="shared" si="52"/>
        <v>Pending</v>
      </c>
      <c r="T537" s="5" t="str">
        <f t="shared" si="53"/>
        <v>Yes</v>
      </c>
    </row>
    <row r="538" spans="1:20" x14ac:dyDescent="0.35">
      <c r="A538" t="s">
        <v>550</v>
      </c>
      <c r="B538" s="2">
        <v>45452</v>
      </c>
      <c r="C538" t="s">
        <v>1750</v>
      </c>
      <c r="D538" t="s">
        <v>2406</v>
      </c>
      <c r="E538">
        <v>1</v>
      </c>
      <c r="F538">
        <v>616.1</v>
      </c>
      <c r="G538" t="s">
        <v>2808</v>
      </c>
      <c r="H538" t="s">
        <v>3069</v>
      </c>
      <c r="I538" t="s">
        <v>3072</v>
      </c>
      <c r="J538" t="s">
        <v>3611</v>
      </c>
      <c r="K538">
        <v>6</v>
      </c>
      <c r="L538" t="s">
        <v>4329</v>
      </c>
      <c r="M538" t="s">
        <v>4280</v>
      </c>
      <c r="N538">
        <v>616.1</v>
      </c>
      <c r="O538">
        <f t="shared" si="48"/>
        <v>616.1</v>
      </c>
      <c r="P538" t="str">
        <f t="shared" si="49"/>
        <v>Jun</v>
      </c>
      <c r="Q538" t="str">
        <f t="shared" si="50"/>
        <v>Q2</v>
      </c>
      <c r="R538" s="5" t="str">
        <f t="shared" si="51"/>
        <v>Large</v>
      </c>
      <c r="S538" s="5" t="str">
        <f t="shared" si="52"/>
        <v>Pending</v>
      </c>
      <c r="T538" s="5" t="str">
        <f t="shared" si="53"/>
        <v>Yes</v>
      </c>
    </row>
    <row r="539" spans="1:20"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c r="O539">
        <f t="shared" si="48"/>
        <v>742.41</v>
      </c>
      <c r="P539" t="str">
        <f t="shared" si="49"/>
        <v>Mar</v>
      </c>
      <c r="Q539" t="str">
        <f t="shared" si="50"/>
        <v>Q1</v>
      </c>
      <c r="R539" s="5" t="str">
        <f t="shared" si="51"/>
        <v>Large</v>
      </c>
      <c r="S539" s="5" t="str">
        <f t="shared" si="52"/>
        <v>Completed</v>
      </c>
      <c r="T539" s="5" t="str">
        <f t="shared" si="53"/>
        <v>Yes</v>
      </c>
    </row>
    <row r="540" spans="1:20"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c r="O540">
        <f t="shared" si="48"/>
        <v>1472.22</v>
      </c>
      <c r="P540" t="str">
        <f t="shared" si="49"/>
        <v>May</v>
      </c>
      <c r="Q540" t="str">
        <f t="shared" si="50"/>
        <v>Q2</v>
      </c>
      <c r="R540" s="5" t="str">
        <f t="shared" si="51"/>
        <v>Large</v>
      </c>
      <c r="S540" s="5" t="str">
        <f t="shared" si="52"/>
        <v>Pending</v>
      </c>
      <c r="T540" s="5" t="str">
        <f t="shared" si="53"/>
        <v>Yes</v>
      </c>
    </row>
    <row r="541" spans="1:20"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c r="O541">
        <f t="shared" si="48"/>
        <v>1595.16</v>
      </c>
      <c r="P541" t="str">
        <f t="shared" si="49"/>
        <v>Feb</v>
      </c>
      <c r="Q541" t="str">
        <f t="shared" si="50"/>
        <v>Q1</v>
      </c>
      <c r="R541" s="5" t="str">
        <f t="shared" si="51"/>
        <v>Large</v>
      </c>
      <c r="S541" s="5" t="str">
        <f t="shared" si="52"/>
        <v>Completed</v>
      </c>
      <c r="T541" s="5" t="str">
        <f t="shared" si="53"/>
        <v>Yes</v>
      </c>
    </row>
    <row r="542" spans="1:20" x14ac:dyDescent="0.35">
      <c r="A542" t="s">
        <v>554</v>
      </c>
      <c r="B542" s="2">
        <v>45320</v>
      </c>
      <c r="C542" t="s">
        <v>1754</v>
      </c>
      <c r="D542" t="s">
        <v>2408</v>
      </c>
      <c r="E542">
        <v>5</v>
      </c>
      <c r="F542">
        <v>648.65</v>
      </c>
      <c r="G542" t="s">
        <v>2811</v>
      </c>
      <c r="H542" t="s">
        <v>3066</v>
      </c>
      <c r="I542" t="s">
        <v>3074</v>
      </c>
      <c r="J542" t="s">
        <v>3615</v>
      </c>
      <c r="K542">
        <v>7</v>
      </c>
      <c r="L542" t="s">
        <v>4329</v>
      </c>
      <c r="M542" t="s">
        <v>4279</v>
      </c>
      <c r="N542">
        <v>3243.25</v>
      </c>
      <c r="O542">
        <f t="shared" si="48"/>
        <v>3243.25</v>
      </c>
      <c r="P542" t="str">
        <f t="shared" si="49"/>
        <v>Jan</v>
      </c>
      <c r="Q542" t="str">
        <f t="shared" si="50"/>
        <v>Q1</v>
      </c>
      <c r="R542" s="5" t="str">
        <f t="shared" si="51"/>
        <v>Large</v>
      </c>
      <c r="S542" s="5" t="str">
        <f t="shared" si="52"/>
        <v>Pending</v>
      </c>
      <c r="T542" s="5" t="str">
        <f t="shared" si="53"/>
        <v>Yes</v>
      </c>
    </row>
    <row r="543" spans="1:20" x14ac:dyDescent="0.35">
      <c r="A543" t="s">
        <v>555</v>
      </c>
      <c r="B543" s="2">
        <v>45145</v>
      </c>
      <c r="C543" t="s">
        <v>1755</v>
      </c>
      <c r="D543" t="s">
        <v>2407</v>
      </c>
      <c r="E543">
        <v>5</v>
      </c>
      <c r="F543">
        <v>456.06</v>
      </c>
      <c r="G543" t="s">
        <v>2812</v>
      </c>
      <c r="H543" t="s">
        <v>3069</v>
      </c>
      <c r="I543" t="s">
        <v>3074</v>
      </c>
      <c r="J543" t="s">
        <v>3616</v>
      </c>
      <c r="K543">
        <v>10</v>
      </c>
      <c r="L543" t="s">
        <v>4329</v>
      </c>
      <c r="M543" t="s">
        <v>4278</v>
      </c>
      <c r="N543">
        <v>2280.3000000000002</v>
      </c>
      <c r="O543">
        <f t="shared" si="48"/>
        <v>2280.3000000000002</v>
      </c>
      <c r="P543" t="str">
        <f t="shared" si="49"/>
        <v>Aug</v>
      </c>
      <c r="Q543" t="str">
        <f t="shared" si="50"/>
        <v>Q3</v>
      </c>
      <c r="R543" s="5" t="str">
        <f t="shared" si="51"/>
        <v>Large</v>
      </c>
      <c r="S543" s="5" t="str">
        <f t="shared" si="52"/>
        <v>Pending</v>
      </c>
      <c r="T543" s="5" t="str">
        <f t="shared" si="53"/>
        <v>Yes</v>
      </c>
    </row>
    <row r="544" spans="1:20"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c r="O544">
        <f t="shared" si="48"/>
        <v>17.98</v>
      </c>
      <c r="P544" t="str">
        <f t="shared" si="49"/>
        <v>Nov</v>
      </c>
      <c r="Q544" t="str">
        <f t="shared" si="50"/>
        <v>Q4</v>
      </c>
      <c r="R544" s="5" t="str">
        <f t="shared" si="51"/>
        <v>Small</v>
      </c>
      <c r="S544" s="5" t="str">
        <f t="shared" si="52"/>
        <v>Pending</v>
      </c>
      <c r="T544" s="5" t="str">
        <f t="shared" si="53"/>
        <v>Yes</v>
      </c>
    </row>
    <row r="545" spans="1:20"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c r="O545">
        <f t="shared" si="48"/>
        <v>1349.3000000000002</v>
      </c>
      <c r="P545" t="str">
        <f t="shared" si="49"/>
        <v>Mar</v>
      </c>
      <c r="Q545" t="str">
        <f t="shared" si="50"/>
        <v>Q1</v>
      </c>
      <c r="R545" s="5" t="str">
        <f t="shared" si="51"/>
        <v>Large</v>
      </c>
      <c r="S545" s="5" t="str">
        <f t="shared" si="52"/>
        <v>Pending</v>
      </c>
      <c r="T545" s="5" t="str">
        <f t="shared" si="53"/>
        <v>Yes</v>
      </c>
    </row>
    <row r="546" spans="1:20"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c r="O546">
        <f t="shared" si="48"/>
        <v>159.80000000000001</v>
      </c>
      <c r="P546" t="str">
        <f t="shared" si="49"/>
        <v>Mar</v>
      </c>
      <c r="Q546" t="str">
        <f t="shared" si="50"/>
        <v>Q1</v>
      </c>
      <c r="R546" s="5" t="str">
        <f t="shared" si="51"/>
        <v>Medium</v>
      </c>
      <c r="S546" s="5" t="str">
        <f t="shared" si="52"/>
        <v>Pending</v>
      </c>
      <c r="T546" s="5" t="str">
        <f t="shared" si="53"/>
        <v>Yes</v>
      </c>
    </row>
    <row r="547" spans="1:20" x14ac:dyDescent="0.35">
      <c r="A547" t="s">
        <v>559</v>
      </c>
      <c r="B547" s="2">
        <v>45279</v>
      </c>
      <c r="C547" t="s">
        <v>1759</v>
      </c>
      <c r="D547" t="s">
        <v>2403</v>
      </c>
      <c r="E547">
        <v>2</v>
      </c>
      <c r="F547">
        <v>98.47</v>
      </c>
      <c r="G547" t="s">
        <v>2813</v>
      </c>
      <c r="H547" t="s">
        <v>3069</v>
      </c>
      <c r="I547" t="s">
        <v>3072</v>
      </c>
      <c r="J547" t="s">
        <v>3620</v>
      </c>
      <c r="K547">
        <v>3</v>
      </c>
      <c r="L547" t="s">
        <v>4329</v>
      </c>
      <c r="M547" t="s">
        <v>4278</v>
      </c>
      <c r="N547">
        <v>196.94</v>
      </c>
      <c r="O547">
        <f t="shared" si="48"/>
        <v>196.94</v>
      </c>
      <c r="P547" t="str">
        <f t="shared" si="49"/>
        <v>Dec</v>
      </c>
      <c r="Q547" t="str">
        <f t="shared" si="50"/>
        <v>Q4</v>
      </c>
      <c r="R547" s="5" t="str">
        <f t="shared" si="51"/>
        <v>Medium</v>
      </c>
      <c r="S547" s="5" t="str">
        <f t="shared" si="52"/>
        <v>Pending</v>
      </c>
      <c r="T547" s="5" t="str">
        <f t="shared" si="53"/>
        <v>Yes</v>
      </c>
    </row>
    <row r="548" spans="1:20"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c r="O548">
        <f t="shared" si="48"/>
        <v>158.68</v>
      </c>
      <c r="P548" t="str">
        <f t="shared" si="49"/>
        <v>Mar</v>
      </c>
      <c r="Q548" t="str">
        <f t="shared" si="50"/>
        <v>Q1</v>
      </c>
      <c r="R548" s="5" t="str">
        <f t="shared" si="51"/>
        <v>Medium</v>
      </c>
      <c r="S548" s="5" t="str">
        <f t="shared" si="52"/>
        <v>Pending</v>
      </c>
      <c r="T548" s="5" t="str">
        <f t="shared" si="53"/>
        <v>Yes</v>
      </c>
    </row>
    <row r="549" spans="1:20"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c r="O549">
        <f t="shared" si="48"/>
        <v>613.98</v>
      </c>
      <c r="P549" t="str">
        <f t="shared" si="49"/>
        <v>Aug</v>
      </c>
      <c r="Q549" t="str">
        <f t="shared" si="50"/>
        <v>Q3</v>
      </c>
      <c r="R549" s="5" t="str">
        <f t="shared" si="51"/>
        <v>Large</v>
      </c>
      <c r="S549" s="5" t="str">
        <f t="shared" si="52"/>
        <v>Completed</v>
      </c>
      <c r="T549" s="5" t="str">
        <f t="shared" si="53"/>
        <v>Yes</v>
      </c>
    </row>
    <row r="550" spans="1:20"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c r="O550">
        <f t="shared" si="48"/>
        <v>1278.3600000000001</v>
      </c>
      <c r="P550" t="str">
        <f t="shared" si="49"/>
        <v>Jan</v>
      </c>
      <c r="Q550" t="str">
        <f t="shared" si="50"/>
        <v>Q1</v>
      </c>
      <c r="R550" s="5" t="str">
        <f t="shared" si="51"/>
        <v>Large</v>
      </c>
      <c r="S550" s="5" t="str">
        <f t="shared" si="52"/>
        <v>Completed</v>
      </c>
      <c r="T550" s="5" t="str">
        <f t="shared" si="53"/>
        <v>Yes</v>
      </c>
    </row>
    <row r="551" spans="1:20"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c r="O551">
        <f t="shared" si="48"/>
        <v>2519.52</v>
      </c>
      <c r="P551" t="str">
        <f t="shared" si="49"/>
        <v>Feb</v>
      </c>
      <c r="Q551" t="str">
        <f t="shared" si="50"/>
        <v>Q1</v>
      </c>
      <c r="R551" s="5" t="str">
        <f t="shared" si="51"/>
        <v>Large</v>
      </c>
      <c r="S551" s="5" t="str">
        <f t="shared" si="52"/>
        <v>Pending</v>
      </c>
      <c r="T551" s="5" t="str">
        <f t="shared" si="53"/>
        <v>Yes</v>
      </c>
    </row>
    <row r="552" spans="1:20"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c r="O552">
        <f t="shared" si="48"/>
        <v>915.64</v>
      </c>
      <c r="P552" t="str">
        <f t="shared" si="49"/>
        <v>Oct</v>
      </c>
      <c r="Q552" t="str">
        <f t="shared" si="50"/>
        <v>Q4</v>
      </c>
      <c r="R552" s="5" t="str">
        <f t="shared" si="51"/>
        <v>Large</v>
      </c>
      <c r="S552" s="5" t="str">
        <f t="shared" si="52"/>
        <v>Pending</v>
      </c>
      <c r="T552" s="5" t="str">
        <f t="shared" si="53"/>
        <v>Yes</v>
      </c>
    </row>
    <row r="553" spans="1:20"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c r="O553">
        <f t="shared" si="48"/>
        <v>120.98</v>
      </c>
      <c r="P553" t="str">
        <f t="shared" si="49"/>
        <v>May</v>
      </c>
      <c r="Q553" t="str">
        <f t="shared" si="50"/>
        <v>Q2</v>
      </c>
      <c r="R553" s="5" t="str">
        <f t="shared" si="51"/>
        <v>Medium</v>
      </c>
      <c r="S553" s="5" t="str">
        <f t="shared" si="52"/>
        <v>Completed</v>
      </c>
      <c r="T553" s="5" t="str">
        <f t="shared" si="53"/>
        <v>Yes</v>
      </c>
    </row>
    <row r="554" spans="1:20"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c r="O554">
        <f t="shared" si="48"/>
        <v>1700.72</v>
      </c>
      <c r="P554" t="str">
        <f t="shared" si="49"/>
        <v>Sep</v>
      </c>
      <c r="Q554" t="str">
        <f t="shared" si="50"/>
        <v>Q3</v>
      </c>
      <c r="R554" s="5" t="str">
        <f t="shared" si="51"/>
        <v>Large</v>
      </c>
      <c r="S554" s="5" t="str">
        <f t="shared" si="52"/>
        <v>Pending</v>
      </c>
      <c r="T554" s="5" t="str">
        <f t="shared" si="53"/>
        <v>Yes</v>
      </c>
    </row>
    <row r="555" spans="1:20"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c r="O555">
        <f t="shared" si="48"/>
        <v>667.66</v>
      </c>
      <c r="P555" t="str">
        <f t="shared" si="49"/>
        <v>Aug</v>
      </c>
      <c r="Q555" t="str">
        <f t="shared" si="50"/>
        <v>Q3</v>
      </c>
      <c r="R555" s="5" t="str">
        <f t="shared" si="51"/>
        <v>Large</v>
      </c>
      <c r="S555" s="5" t="str">
        <f t="shared" si="52"/>
        <v>Pending</v>
      </c>
      <c r="T555" s="5" t="str">
        <f t="shared" si="53"/>
        <v>Yes</v>
      </c>
    </row>
    <row r="556" spans="1:20"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c r="O556">
        <f t="shared" si="48"/>
        <v>985.8</v>
      </c>
      <c r="P556" t="str">
        <f t="shared" si="49"/>
        <v>May</v>
      </c>
      <c r="Q556" t="str">
        <f t="shared" si="50"/>
        <v>Q2</v>
      </c>
      <c r="R556" s="5" t="str">
        <f t="shared" si="51"/>
        <v>Large</v>
      </c>
      <c r="S556" s="5" t="str">
        <f t="shared" si="52"/>
        <v>Pending</v>
      </c>
      <c r="T556" s="5" t="str">
        <f t="shared" si="53"/>
        <v>Yes</v>
      </c>
    </row>
    <row r="557" spans="1:20" x14ac:dyDescent="0.35">
      <c r="A557" t="s">
        <v>569</v>
      </c>
      <c r="B557" s="2">
        <v>44933</v>
      </c>
      <c r="C557" t="s">
        <v>1769</v>
      </c>
      <c r="D557" t="s">
        <v>2405</v>
      </c>
      <c r="E557">
        <v>1</v>
      </c>
      <c r="F557">
        <v>92.04</v>
      </c>
      <c r="G557" t="s">
        <v>2420</v>
      </c>
      <c r="H557" t="s">
        <v>3069</v>
      </c>
      <c r="I557" t="s">
        <v>3070</v>
      </c>
      <c r="J557" t="s">
        <v>3630</v>
      </c>
      <c r="K557">
        <v>2</v>
      </c>
      <c r="L557" t="s">
        <v>4329</v>
      </c>
      <c r="M557" t="s">
        <v>4281</v>
      </c>
      <c r="N557">
        <v>92.04</v>
      </c>
      <c r="O557">
        <f t="shared" si="48"/>
        <v>92.04</v>
      </c>
      <c r="P557" t="str">
        <f t="shared" si="49"/>
        <v>Jan</v>
      </c>
      <c r="Q557" t="str">
        <f t="shared" si="50"/>
        <v>Q1</v>
      </c>
      <c r="R557" s="5" t="str">
        <f t="shared" si="51"/>
        <v>Small</v>
      </c>
      <c r="S557" s="5" t="str">
        <f t="shared" si="52"/>
        <v>Pending</v>
      </c>
      <c r="T557" s="5" t="str">
        <f t="shared" si="53"/>
        <v>Yes</v>
      </c>
    </row>
    <row r="558" spans="1:20"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c r="O558">
        <f t="shared" si="48"/>
        <v>654.27</v>
      </c>
      <c r="P558" t="str">
        <f t="shared" si="49"/>
        <v>Jan</v>
      </c>
      <c r="Q558" t="str">
        <f t="shared" si="50"/>
        <v>Q1</v>
      </c>
      <c r="R558" s="5" t="str">
        <f t="shared" si="51"/>
        <v>Large</v>
      </c>
      <c r="S558" s="5" t="str">
        <f t="shared" si="52"/>
        <v>Pending</v>
      </c>
      <c r="T558" s="5" t="str">
        <f t="shared" si="53"/>
        <v>Yes</v>
      </c>
    </row>
    <row r="559" spans="1:20" x14ac:dyDescent="0.35">
      <c r="A559" t="s">
        <v>571</v>
      </c>
      <c r="B559" s="2">
        <v>45106</v>
      </c>
      <c r="C559" t="s">
        <v>1771</v>
      </c>
      <c r="D559" t="s">
        <v>2405</v>
      </c>
      <c r="E559">
        <v>1</v>
      </c>
      <c r="F559">
        <v>56.2</v>
      </c>
      <c r="G559" t="s">
        <v>2818</v>
      </c>
      <c r="H559" t="s">
        <v>3065</v>
      </c>
      <c r="I559" t="s">
        <v>3074</v>
      </c>
      <c r="J559" t="s">
        <v>3632</v>
      </c>
      <c r="K559">
        <v>1</v>
      </c>
      <c r="L559" t="s">
        <v>4277</v>
      </c>
      <c r="M559" t="s">
        <v>4281</v>
      </c>
      <c r="N559">
        <v>56.2</v>
      </c>
      <c r="O559">
        <f t="shared" si="48"/>
        <v>56.2</v>
      </c>
      <c r="P559" t="str">
        <f t="shared" si="49"/>
        <v>Jun</v>
      </c>
      <c r="Q559" t="str">
        <f t="shared" si="50"/>
        <v>Q2</v>
      </c>
      <c r="R559" s="5" t="str">
        <f t="shared" si="51"/>
        <v>Small</v>
      </c>
      <c r="S559" s="5" t="str">
        <f t="shared" si="52"/>
        <v>Pending</v>
      </c>
      <c r="T559" s="5" t="str">
        <f t="shared" si="53"/>
        <v>Yes</v>
      </c>
    </row>
    <row r="560" spans="1:20"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c r="O560">
        <f t="shared" si="48"/>
        <v>2512.48</v>
      </c>
      <c r="P560" t="str">
        <f t="shared" si="49"/>
        <v>Jul</v>
      </c>
      <c r="Q560" t="str">
        <f t="shared" si="50"/>
        <v>Q3</v>
      </c>
      <c r="R560" s="5" t="str">
        <f t="shared" si="51"/>
        <v>Large</v>
      </c>
      <c r="S560" s="5" t="str">
        <f t="shared" si="52"/>
        <v>Completed</v>
      </c>
      <c r="T560" s="5" t="str">
        <f t="shared" si="53"/>
        <v>Yes</v>
      </c>
    </row>
    <row r="561" spans="1:20"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c r="O561">
        <f t="shared" si="48"/>
        <v>472.20000000000005</v>
      </c>
      <c r="P561" t="str">
        <f t="shared" si="49"/>
        <v>Apr</v>
      </c>
      <c r="Q561" t="str">
        <f t="shared" si="50"/>
        <v>Q2</v>
      </c>
      <c r="R561" s="5" t="str">
        <f t="shared" si="51"/>
        <v>Medium</v>
      </c>
      <c r="S561" s="5" t="str">
        <f t="shared" si="52"/>
        <v>Pending</v>
      </c>
      <c r="T561" s="5" t="str">
        <f t="shared" si="53"/>
        <v>Yes</v>
      </c>
    </row>
    <row r="562" spans="1:20" x14ac:dyDescent="0.35">
      <c r="A562" t="s">
        <v>574</v>
      </c>
      <c r="B562" s="2">
        <v>44957</v>
      </c>
      <c r="C562" t="s">
        <v>1774</v>
      </c>
      <c r="D562" t="s">
        <v>2403</v>
      </c>
      <c r="E562">
        <v>4</v>
      </c>
      <c r="F562">
        <v>588.85</v>
      </c>
      <c r="G562" t="s">
        <v>2820</v>
      </c>
      <c r="H562" t="s">
        <v>3068</v>
      </c>
      <c r="I562" t="s">
        <v>3074</v>
      </c>
      <c r="J562" t="s">
        <v>3635</v>
      </c>
      <c r="K562">
        <v>7</v>
      </c>
      <c r="L562" t="s">
        <v>4329</v>
      </c>
      <c r="M562" t="s">
        <v>4280</v>
      </c>
      <c r="N562">
        <v>2355.4</v>
      </c>
      <c r="O562">
        <f t="shared" si="48"/>
        <v>2355.4</v>
      </c>
      <c r="P562" t="str">
        <f t="shared" si="49"/>
        <v>Jan</v>
      </c>
      <c r="Q562" t="str">
        <f t="shared" si="50"/>
        <v>Q1</v>
      </c>
      <c r="R562" s="5" t="str">
        <f t="shared" si="51"/>
        <v>Large</v>
      </c>
      <c r="S562" s="5" t="str">
        <f t="shared" si="52"/>
        <v>Pending</v>
      </c>
      <c r="T562" s="5" t="str">
        <f t="shared" si="53"/>
        <v>Yes</v>
      </c>
    </row>
    <row r="563" spans="1:20" x14ac:dyDescent="0.35">
      <c r="A563" t="s">
        <v>575</v>
      </c>
      <c r="B563" s="2">
        <v>44957</v>
      </c>
      <c r="C563" t="s">
        <v>1775</v>
      </c>
      <c r="D563" t="s">
        <v>2407</v>
      </c>
      <c r="E563">
        <v>2</v>
      </c>
      <c r="F563">
        <v>494.78</v>
      </c>
      <c r="G563" t="s">
        <v>2821</v>
      </c>
      <c r="H563" t="s">
        <v>3066</v>
      </c>
      <c r="I563" t="s">
        <v>3070</v>
      </c>
      <c r="J563" t="s">
        <v>3636</v>
      </c>
      <c r="K563">
        <v>2</v>
      </c>
      <c r="L563" t="s">
        <v>4329</v>
      </c>
      <c r="M563" t="s">
        <v>4282</v>
      </c>
      <c r="N563">
        <v>989.56</v>
      </c>
      <c r="O563">
        <f t="shared" si="48"/>
        <v>989.56</v>
      </c>
      <c r="P563" t="str">
        <f t="shared" si="49"/>
        <v>Jan</v>
      </c>
      <c r="Q563" t="str">
        <f t="shared" si="50"/>
        <v>Q1</v>
      </c>
      <c r="R563" s="5" t="str">
        <f t="shared" si="51"/>
        <v>Large</v>
      </c>
      <c r="S563" s="5" t="str">
        <f t="shared" si="52"/>
        <v>Pending</v>
      </c>
      <c r="T563" s="5" t="str">
        <f t="shared" si="53"/>
        <v>Yes</v>
      </c>
    </row>
    <row r="564" spans="1:20"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c r="O564">
        <f t="shared" si="48"/>
        <v>1991.79</v>
      </c>
      <c r="P564" t="str">
        <f t="shared" si="49"/>
        <v>Oct</v>
      </c>
      <c r="Q564" t="str">
        <f t="shared" si="50"/>
        <v>Q4</v>
      </c>
      <c r="R564" s="5" t="str">
        <f t="shared" si="51"/>
        <v>Large</v>
      </c>
      <c r="S564" s="5" t="str">
        <f t="shared" si="52"/>
        <v>Pending</v>
      </c>
      <c r="T564" s="5" t="str">
        <f t="shared" si="53"/>
        <v>Yes</v>
      </c>
    </row>
    <row r="565" spans="1:20"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c r="O565">
        <f t="shared" si="48"/>
        <v>132.68</v>
      </c>
      <c r="P565" t="str">
        <f t="shared" si="49"/>
        <v>Dec</v>
      </c>
      <c r="Q565" t="str">
        <f t="shared" si="50"/>
        <v>Q4</v>
      </c>
      <c r="R565" s="5" t="str">
        <f t="shared" si="51"/>
        <v>Medium</v>
      </c>
      <c r="S565" s="5" t="str">
        <f t="shared" si="52"/>
        <v>Pending</v>
      </c>
      <c r="T565" s="5" t="str">
        <f t="shared" si="53"/>
        <v>Yes</v>
      </c>
    </row>
    <row r="566" spans="1:20"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c r="O566">
        <f t="shared" si="48"/>
        <v>1821.3999999999999</v>
      </c>
      <c r="P566" t="str">
        <f t="shared" si="49"/>
        <v>Apr</v>
      </c>
      <c r="Q566" t="str">
        <f t="shared" si="50"/>
        <v>Q2</v>
      </c>
      <c r="R566" s="5" t="str">
        <f t="shared" si="51"/>
        <v>Large</v>
      </c>
      <c r="S566" s="5" t="str">
        <f t="shared" si="52"/>
        <v>Pending</v>
      </c>
      <c r="T566" s="5" t="str">
        <f t="shared" si="53"/>
        <v>Yes</v>
      </c>
    </row>
    <row r="567" spans="1:20" x14ac:dyDescent="0.35">
      <c r="A567" t="s">
        <v>579</v>
      </c>
      <c r="B567" s="2">
        <v>45060</v>
      </c>
      <c r="C567" t="s">
        <v>1779</v>
      </c>
      <c r="D567" t="s">
        <v>2405</v>
      </c>
      <c r="E567">
        <v>5</v>
      </c>
      <c r="F567">
        <v>307.98</v>
      </c>
      <c r="G567" t="s">
        <v>2770</v>
      </c>
      <c r="H567" t="s">
        <v>3066</v>
      </c>
      <c r="I567" t="s">
        <v>3074</v>
      </c>
      <c r="J567" t="s">
        <v>3640</v>
      </c>
      <c r="K567">
        <v>10</v>
      </c>
      <c r="L567" t="s">
        <v>4329</v>
      </c>
      <c r="M567" t="s">
        <v>4281</v>
      </c>
      <c r="N567">
        <v>1539.9</v>
      </c>
      <c r="O567">
        <f t="shared" si="48"/>
        <v>1539.9</v>
      </c>
      <c r="P567" t="str">
        <f t="shared" si="49"/>
        <v>May</v>
      </c>
      <c r="Q567" t="str">
        <f t="shared" si="50"/>
        <v>Q2</v>
      </c>
      <c r="R567" s="5" t="str">
        <f t="shared" si="51"/>
        <v>Large</v>
      </c>
      <c r="S567" s="5" t="str">
        <f t="shared" si="52"/>
        <v>Pending</v>
      </c>
      <c r="T567" s="5" t="str">
        <f t="shared" si="53"/>
        <v>Yes</v>
      </c>
    </row>
    <row r="568" spans="1:20"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c r="O568">
        <f t="shared" si="48"/>
        <v>650.84</v>
      </c>
      <c r="P568" t="str">
        <f t="shared" si="49"/>
        <v>Apr</v>
      </c>
      <c r="Q568" t="str">
        <f t="shared" si="50"/>
        <v>Q2</v>
      </c>
      <c r="R568" s="5" t="str">
        <f t="shared" si="51"/>
        <v>Large</v>
      </c>
      <c r="S568" s="5" t="str">
        <f t="shared" si="52"/>
        <v>Pending</v>
      </c>
      <c r="T568" s="5" t="str">
        <f t="shared" si="53"/>
        <v>Yes</v>
      </c>
    </row>
    <row r="569" spans="1:20"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c r="O569">
        <f t="shared" si="48"/>
        <v>2464.6999999999998</v>
      </c>
      <c r="P569" t="str">
        <f t="shared" si="49"/>
        <v>Sep</v>
      </c>
      <c r="Q569" t="str">
        <f t="shared" si="50"/>
        <v>Q3</v>
      </c>
      <c r="R569" s="5" t="str">
        <f t="shared" si="51"/>
        <v>Large</v>
      </c>
      <c r="S569" s="5" t="str">
        <f t="shared" si="52"/>
        <v>Pending</v>
      </c>
      <c r="T569" s="5" t="str">
        <f t="shared" si="53"/>
        <v>Yes</v>
      </c>
    </row>
    <row r="570" spans="1:20" x14ac:dyDescent="0.35">
      <c r="A570" t="s">
        <v>582</v>
      </c>
      <c r="B570" s="2">
        <v>44995</v>
      </c>
      <c r="C570" t="s">
        <v>1782</v>
      </c>
      <c r="D570" t="s">
        <v>2408</v>
      </c>
      <c r="E570">
        <v>2</v>
      </c>
      <c r="F570">
        <v>343.99</v>
      </c>
      <c r="G570" t="s">
        <v>2714</v>
      </c>
      <c r="H570" t="s">
        <v>3066</v>
      </c>
      <c r="I570" t="s">
        <v>3073</v>
      </c>
      <c r="J570" t="s">
        <v>3643</v>
      </c>
      <c r="K570">
        <v>4</v>
      </c>
      <c r="L570" t="s">
        <v>4329</v>
      </c>
      <c r="M570" t="s">
        <v>4282</v>
      </c>
      <c r="N570">
        <v>687.98</v>
      </c>
      <c r="O570">
        <f t="shared" si="48"/>
        <v>687.98</v>
      </c>
      <c r="P570" t="str">
        <f t="shared" si="49"/>
        <v>Mar</v>
      </c>
      <c r="Q570" t="str">
        <f t="shared" si="50"/>
        <v>Q1</v>
      </c>
      <c r="R570" s="5" t="str">
        <f t="shared" si="51"/>
        <v>Large</v>
      </c>
      <c r="S570" s="5" t="str">
        <f t="shared" si="52"/>
        <v>Completed</v>
      </c>
      <c r="T570" s="5" t="str">
        <f t="shared" si="53"/>
        <v>Yes</v>
      </c>
    </row>
    <row r="571" spans="1:20"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c r="O571">
        <f t="shared" si="48"/>
        <v>1253.4000000000001</v>
      </c>
      <c r="P571" t="str">
        <f t="shared" si="49"/>
        <v>Mar</v>
      </c>
      <c r="Q571" t="str">
        <f t="shared" si="50"/>
        <v>Q1</v>
      </c>
      <c r="R571" s="5" t="str">
        <f t="shared" si="51"/>
        <v>Large</v>
      </c>
      <c r="S571" s="5" t="str">
        <f t="shared" si="52"/>
        <v>Pending</v>
      </c>
      <c r="T571" s="5" t="str">
        <f t="shared" si="53"/>
        <v>Yes</v>
      </c>
    </row>
    <row r="572" spans="1:20"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c r="O572">
        <f t="shared" si="48"/>
        <v>724.28</v>
      </c>
      <c r="P572" t="str">
        <f t="shared" si="49"/>
        <v>Dec</v>
      </c>
      <c r="Q572" t="str">
        <f t="shared" si="50"/>
        <v>Q4</v>
      </c>
      <c r="R572" s="5" t="str">
        <f t="shared" si="51"/>
        <v>Large</v>
      </c>
      <c r="S572" s="5" t="str">
        <f t="shared" si="52"/>
        <v>Pending</v>
      </c>
      <c r="T572" s="5" t="str">
        <f t="shared" si="53"/>
        <v>Yes</v>
      </c>
    </row>
    <row r="573" spans="1:20"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c r="O573">
        <f t="shared" si="48"/>
        <v>214.08</v>
      </c>
      <c r="P573" t="str">
        <f t="shared" si="49"/>
        <v>Nov</v>
      </c>
      <c r="Q573" t="str">
        <f t="shared" si="50"/>
        <v>Q4</v>
      </c>
      <c r="R573" s="5" t="str">
        <f t="shared" si="51"/>
        <v>Medium</v>
      </c>
      <c r="S573" s="5" t="str">
        <f t="shared" si="52"/>
        <v>Pending</v>
      </c>
      <c r="T573" s="5" t="str">
        <f t="shared" si="53"/>
        <v>Yes</v>
      </c>
    </row>
    <row r="574" spans="1:20"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c r="O574">
        <f t="shared" si="48"/>
        <v>70.319999999999993</v>
      </c>
      <c r="P574" t="str">
        <f t="shared" si="49"/>
        <v>Nov</v>
      </c>
      <c r="Q574" t="str">
        <f t="shared" si="50"/>
        <v>Q4</v>
      </c>
      <c r="R574" s="5" t="str">
        <f t="shared" si="51"/>
        <v>Small</v>
      </c>
      <c r="S574" s="5" t="str">
        <f t="shared" si="52"/>
        <v>Pending</v>
      </c>
      <c r="T574" s="5" t="str">
        <f t="shared" si="53"/>
        <v>Yes</v>
      </c>
    </row>
    <row r="575" spans="1:20" x14ac:dyDescent="0.35">
      <c r="A575" t="s">
        <v>587</v>
      </c>
      <c r="B575" s="2">
        <v>44951</v>
      </c>
      <c r="C575" t="s">
        <v>1787</v>
      </c>
      <c r="D575" t="s">
        <v>2406</v>
      </c>
      <c r="E575">
        <v>5</v>
      </c>
      <c r="F575">
        <v>421.42</v>
      </c>
      <c r="G575" t="s">
        <v>2511</v>
      </c>
      <c r="H575" t="s">
        <v>3065</v>
      </c>
      <c r="I575" t="s">
        <v>3071</v>
      </c>
      <c r="J575" t="s">
        <v>3648</v>
      </c>
      <c r="K575">
        <v>7</v>
      </c>
      <c r="L575" t="s">
        <v>4329</v>
      </c>
      <c r="M575" t="s">
        <v>4278</v>
      </c>
      <c r="N575">
        <v>2107.1</v>
      </c>
      <c r="O575">
        <f t="shared" si="48"/>
        <v>2107.1</v>
      </c>
      <c r="P575" t="str">
        <f t="shared" si="49"/>
        <v>Jan</v>
      </c>
      <c r="Q575" t="str">
        <f t="shared" si="50"/>
        <v>Q1</v>
      </c>
      <c r="R575" s="5" t="str">
        <f t="shared" si="51"/>
        <v>Large</v>
      </c>
      <c r="S575" s="5" t="str">
        <f t="shared" si="52"/>
        <v>Pending</v>
      </c>
      <c r="T575" s="5" t="str">
        <f t="shared" si="53"/>
        <v>Yes</v>
      </c>
    </row>
    <row r="576" spans="1:20"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c r="O576">
        <f t="shared" si="48"/>
        <v>1923.45</v>
      </c>
      <c r="P576" t="str">
        <f t="shared" si="49"/>
        <v>Jan</v>
      </c>
      <c r="Q576" t="str">
        <f t="shared" si="50"/>
        <v>Q1</v>
      </c>
      <c r="R576" s="5" t="str">
        <f t="shared" si="51"/>
        <v>Large</v>
      </c>
      <c r="S576" s="5" t="str">
        <f t="shared" si="52"/>
        <v>Pending</v>
      </c>
      <c r="T576" s="5" t="str">
        <f t="shared" si="53"/>
        <v>Yes</v>
      </c>
    </row>
    <row r="577" spans="1:20"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c r="O577">
        <f t="shared" si="48"/>
        <v>2240.75</v>
      </c>
      <c r="P577" t="str">
        <f t="shared" si="49"/>
        <v>Jun</v>
      </c>
      <c r="Q577" t="str">
        <f t="shared" si="50"/>
        <v>Q2</v>
      </c>
      <c r="R577" s="5" t="str">
        <f t="shared" si="51"/>
        <v>Large</v>
      </c>
      <c r="S577" s="5" t="str">
        <f t="shared" si="52"/>
        <v>Pending</v>
      </c>
      <c r="T577" s="5" t="str">
        <f t="shared" si="53"/>
        <v>Yes</v>
      </c>
    </row>
    <row r="578" spans="1:20" x14ac:dyDescent="0.35">
      <c r="A578" t="s">
        <v>590</v>
      </c>
      <c r="B578" s="2">
        <v>45441</v>
      </c>
      <c r="C578" t="s">
        <v>1790</v>
      </c>
      <c r="D578" t="s">
        <v>2408</v>
      </c>
      <c r="E578">
        <v>5</v>
      </c>
      <c r="F578">
        <v>79.08</v>
      </c>
      <c r="G578" t="s">
        <v>2710</v>
      </c>
      <c r="H578" t="s">
        <v>3069</v>
      </c>
      <c r="I578" t="s">
        <v>3074</v>
      </c>
      <c r="J578" t="s">
        <v>3651</v>
      </c>
      <c r="K578">
        <v>8</v>
      </c>
      <c r="L578" t="s">
        <v>4329</v>
      </c>
      <c r="M578" t="s">
        <v>4281</v>
      </c>
      <c r="N578">
        <v>395.4</v>
      </c>
      <c r="O578">
        <f t="shared" ref="O578:O641" si="54">E578*F578</f>
        <v>395.4</v>
      </c>
      <c r="P578" t="str">
        <f t="shared" ref="P578:P641" si="55">TEXT(B578, "mmm")</f>
        <v>May</v>
      </c>
      <c r="Q578" t="str">
        <f t="shared" ref="Q578:Q641" si="56">"Q"&amp;ROUNDUP(MONTH(B578)/3,0)</f>
        <v>Q2</v>
      </c>
      <c r="R578" s="5" t="str">
        <f t="shared" ref="R578:R641" si="57">IF(N578&lt;100,"Small", IF(N578&lt;500, "Medium", "Large"))</f>
        <v>Medium</v>
      </c>
      <c r="S578" s="5" t="str">
        <f t="shared" ref="S578:S641" si="58">IF(I578="Delivered","Completed","Pending")</f>
        <v>Pending</v>
      </c>
      <c r="T578" s="5" t="str">
        <f t="shared" ref="T578:T641" si="59">IF(L578="","No", "Yes")</f>
        <v>Yes</v>
      </c>
    </row>
    <row r="579" spans="1:20"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c r="O579">
        <f t="shared" si="54"/>
        <v>741.64</v>
      </c>
      <c r="P579" t="str">
        <f t="shared" si="55"/>
        <v>Jan</v>
      </c>
      <c r="Q579" t="str">
        <f t="shared" si="56"/>
        <v>Q1</v>
      </c>
      <c r="R579" s="5" t="str">
        <f t="shared" si="57"/>
        <v>Large</v>
      </c>
      <c r="S579" s="5" t="str">
        <f t="shared" si="58"/>
        <v>Pending</v>
      </c>
      <c r="T579" s="5" t="str">
        <f t="shared" si="59"/>
        <v>Yes</v>
      </c>
    </row>
    <row r="580" spans="1:20"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c r="O580">
        <f t="shared" si="54"/>
        <v>2830.3500000000004</v>
      </c>
      <c r="P580" t="str">
        <f t="shared" si="55"/>
        <v>Oct</v>
      </c>
      <c r="Q580" t="str">
        <f t="shared" si="56"/>
        <v>Q4</v>
      </c>
      <c r="R580" s="5" t="str">
        <f t="shared" si="57"/>
        <v>Large</v>
      </c>
      <c r="S580" s="5" t="str">
        <f t="shared" si="58"/>
        <v>Completed</v>
      </c>
      <c r="T580" s="5" t="str">
        <f t="shared" si="59"/>
        <v>Yes</v>
      </c>
    </row>
    <row r="581" spans="1:20"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c r="O581">
        <f t="shared" si="54"/>
        <v>375.76</v>
      </c>
      <c r="P581" t="str">
        <f t="shared" si="55"/>
        <v>Jun</v>
      </c>
      <c r="Q581" t="str">
        <f t="shared" si="56"/>
        <v>Q2</v>
      </c>
      <c r="R581" s="5" t="str">
        <f t="shared" si="57"/>
        <v>Medium</v>
      </c>
      <c r="S581" s="5" t="str">
        <f t="shared" si="58"/>
        <v>Pending</v>
      </c>
      <c r="T581" s="5" t="str">
        <f t="shared" si="59"/>
        <v>Yes</v>
      </c>
    </row>
    <row r="582" spans="1:20"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c r="O582">
        <f t="shared" si="54"/>
        <v>511.98</v>
      </c>
      <c r="P582" t="str">
        <f t="shared" si="55"/>
        <v>Nov</v>
      </c>
      <c r="Q582" t="str">
        <f t="shared" si="56"/>
        <v>Q4</v>
      </c>
      <c r="R582" s="5" t="str">
        <f t="shared" si="57"/>
        <v>Large</v>
      </c>
      <c r="S582" s="5" t="str">
        <f t="shared" si="58"/>
        <v>Completed</v>
      </c>
      <c r="T582" s="5" t="str">
        <f t="shared" si="59"/>
        <v>Yes</v>
      </c>
    </row>
    <row r="583" spans="1:20" x14ac:dyDescent="0.35">
      <c r="A583" t="s">
        <v>595</v>
      </c>
      <c r="B583" s="2">
        <v>45607</v>
      </c>
      <c r="C583" t="s">
        <v>1795</v>
      </c>
      <c r="D583" t="s">
        <v>2408</v>
      </c>
      <c r="E583">
        <v>1</v>
      </c>
      <c r="F583">
        <v>627.34</v>
      </c>
      <c r="G583" t="s">
        <v>2425</v>
      </c>
      <c r="H583" t="s">
        <v>3066</v>
      </c>
      <c r="I583" t="s">
        <v>3073</v>
      </c>
      <c r="J583" t="s">
        <v>3656</v>
      </c>
      <c r="K583">
        <v>1</v>
      </c>
      <c r="L583" t="s">
        <v>4329</v>
      </c>
      <c r="M583" t="s">
        <v>4279</v>
      </c>
      <c r="N583">
        <v>627.34</v>
      </c>
      <c r="O583">
        <f t="shared" si="54"/>
        <v>627.34</v>
      </c>
      <c r="P583" t="str">
        <f t="shared" si="55"/>
        <v>Nov</v>
      </c>
      <c r="Q583" t="str">
        <f t="shared" si="56"/>
        <v>Q4</v>
      </c>
      <c r="R583" s="5" t="str">
        <f t="shared" si="57"/>
        <v>Large</v>
      </c>
      <c r="S583" s="5" t="str">
        <f t="shared" si="58"/>
        <v>Completed</v>
      </c>
      <c r="T583" s="5" t="str">
        <f t="shared" si="59"/>
        <v>Yes</v>
      </c>
    </row>
    <row r="584" spans="1:20"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c r="O584">
        <f t="shared" si="54"/>
        <v>1422.42</v>
      </c>
      <c r="P584" t="str">
        <f t="shared" si="55"/>
        <v>Feb</v>
      </c>
      <c r="Q584" t="str">
        <f t="shared" si="56"/>
        <v>Q1</v>
      </c>
      <c r="R584" s="5" t="str">
        <f t="shared" si="57"/>
        <v>Large</v>
      </c>
      <c r="S584" s="5" t="str">
        <f t="shared" si="58"/>
        <v>Pending</v>
      </c>
      <c r="T584" s="5" t="str">
        <f t="shared" si="59"/>
        <v>Yes</v>
      </c>
    </row>
    <row r="585" spans="1:20" x14ac:dyDescent="0.35">
      <c r="A585" t="s">
        <v>597</v>
      </c>
      <c r="B585" s="2">
        <v>45823</v>
      </c>
      <c r="C585" t="s">
        <v>1797</v>
      </c>
      <c r="D585" t="s">
        <v>2406</v>
      </c>
      <c r="E585">
        <v>3</v>
      </c>
      <c r="F585">
        <v>154.37</v>
      </c>
      <c r="G585" t="s">
        <v>2441</v>
      </c>
      <c r="H585" t="s">
        <v>3068</v>
      </c>
      <c r="I585" t="s">
        <v>3073</v>
      </c>
      <c r="J585" t="s">
        <v>3658</v>
      </c>
      <c r="K585">
        <v>4</v>
      </c>
      <c r="L585" t="s">
        <v>4329</v>
      </c>
      <c r="M585" t="s">
        <v>4278</v>
      </c>
      <c r="N585">
        <v>463.11</v>
      </c>
      <c r="O585">
        <f t="shared" si="54"/>
        <v>463.11</v>
      </c>
      <c r="P585" t="str">
        <f t="shared" si="55"/>
        <v>Jun</v>
      </c>
      <c r="Q585" t="str">
        <f t="shared" si="56"/>
        <v>Q2</v>
      </c>
      <c r="R585" s="5" t="str">
        <f t="shared" si="57"/>
        <v>Medium</v>
      </c>
      <c r="S585" s="5" t="str">
        <f t="shared" si="58"/>
        <v>Completed</v>
      </c>
      <c r="T585" s="5" t="str">
        <f t="shared" si="59"/>
        <v>Yes</v>
      </c>
    </row>
    <row r="586" spans="1:20"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c r="O586">
        <f t="shared" si="54"/>
        <v>580.20000000000005</v>
      </c>
      <c r="P586" t="str">
        <f t="shared" si="55"/>
        <v>Mar</v>
      </c>
      <c r="Q586" t="str">
        <f t="shared" si="56"/>
        <v>Q1</v>
      </c>
      <c r="R586" s="5" t="str">
        <f t="shared" si="57"/>
        <v>Large</v>
      </c>
      <c r="S586" s="5" t="str">
        <f t="shared" si="58"/>
        <v>Completed</v>
      </c>
      <c r="T586" s="5" t="str">
        <f t="shared" si="59"/>
        <v>Yes</v>
      </c>
    </row>
    <row r="587" spans="1:20"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c r="O587">
        <f t="shared" si="54"/>
        <v>268.32</v>
      </c>
      <c r="P587" t="str">
        <f t="shared" si="55"/>
        <v>Aug</v>
      </c>
      <c r="Q587" t="str">
        <f t="shared" si="56"/>
        <v>Q3</v>
      </c>
      <c r="R587" s="5" t="str">
        <f t="shared" si="57"/>
        <v>Medium</v>
      </c>
      <c r="S587" s="5" t="str">
        <f t="shared" si="58"/>
        <v>Pending</v>
      </c>
      <c r="T587" s="5" t="str">
        <f t="shared" si="59"/>
        <v>Yes</v>
      </c>
    </row>
    <row r="588" spans="1:20"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c r="O588">
        <f t="shared" si="54"/>
        <v>522.08000000000004</v>
      </c>
      <c r="P588" t="str">
        <f t="shared" si="55"/>
        <v>Nov</v>
      </c>
      <c r="Q588" t="str">
        <f t="shared" si="56"/>
        <v>Q4</v>
      </c>
      <c r="R588" s="5" t="str">
        <f t="shared" si="57"/>
        <v>Large</v>
      </c>
      <c r="S588" s="5" t="str">
        <f t="shared" si="58"/>
        <v>Pending</v>
      </c>
      <c r="T588" s="5" t="str">
        <f t="shared" si="59"/>
        <v>Yes</v>
      </c>
    </row>
    <row r="589" spans="1:20"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c r="O589">
        <f t="shared" si="54"/>
        <v>2573</v>
      </c>
      <c r="P589" t="str">
        <f t="shared" si="55"/>
        <v>Jun</v>
      </c>
      <c r="Q589" t="str">
        <f t="shared" si="56"/>
        <v>Q2</v>
      </c>
      <c r="R589" s="5" t="str">
        <f t="shared" si="57"/>
        <v>Large</v>
      </c>
      <c r="S589" s="5" t="str">
        <f t="shared" si="58"/>
        <v>Completed</v>
      </c>
      <c r="T589" s="5" t="str">
        <f t="shared" si="59"/>
        <v>Yes</v>
      </c>
    </row>
    <row r="590" spans="1:20" x14ac:dyDescent="0.35">
      <c r="A590" t="s">
        <v>602</v>
      </c>
      <c r="B590" s="2">
        <v>45636</v>
      </c>
      <c r="C590" t="s">
        <v>1802</v>
      </c>
      <c r="D590" t="s">
        <v>2403</v>
      </c>
      <c r="E590">
        <v>4</v>
      </c>
      <c r="F590">
        <v>577.82000000000005</v>
      </c>
      <c r="G590" t="s">
        <v>2465</v>
      </c>
      <c r="H590" t="s">
        <v>3067</v>
      </c>
      <c r="I590" t="s">
        <v>3073</v>
      </c>
      <c r="J590" t="s">
        <v>3663</v>
      </c>
      <c r="K590">
        <v>9</v>
      </c>
      <c r="L590" t="s">
        <v>4329</v>
      </c>
      <c r="M590" t="s">
        <v>4282</v>
      </c>
      <c r="N590">
        <v>2311.2800000000002</v>
      </c>
      <c r="O590">
        <f t="shared" si="54"/>
        <v>2311.2800000000002</v>
      </c>
      <c r="P590" t="str">
        <f t="shared" si="55"/>
        <v>Dec</v>
      </c>
      <c r="Q590" t="str">
        <f t="shared" si="56"/>
        <v>Q4</v>
      </c>
      <c r="R590" s="5" t="str">
        <f t="shared" si="57"/>
        <v>Large</v>
      </c>
      <c r="S590" s="5" t="str">
        <f t="shared" si="58"/>
        <v>Completed</v>
      </c>
      <c r="T590" s="5" t="str">
        <f t="shared" si="59"/>
        <v>Yes</v>
      </c>
    </row>
    <row r="591" spans="1:20"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c r="O591">
        <f t="shared" si="54"/>
        <v>1001.6</v>
      </c>
      <c r="P591" t="str">
        <f t="shared" si="55"/>
        <v>Feb</v>
      </c>
      <c r="Q591" t="str">
        <f t="shared" si="56"/>
        <v>Q1</v>
      </c>
      <c r="R591" s="5" t="str">
        <f t="shared" si="57"/>
        <v>Large</v>
      </c>
      <c r="S591" s="5" t="str">
        <f t="shared" si="58"/>
        <v>Completed</v>
      </c>
      <c r="T591" s="5" t="str">
        <f t="shared" si="59"/>
        <v>Yes</v>
      </c>
    </row>
    <row r="592" spans="1:20" x14ac:dyDescent="0.35">
      <c r="A592" t="s">
        <v>604</v>
      </c>
      <c r="B592" s="2">
        <v>45179</v>
      </c>
      <c r="C592" t="s">
        <v>1804</v>
      </c>
      <c r="D592" t="s">
        <v>2407</v>
      </c>
      <c r="E592">
        <v>2</v>
      </c>
      <c r="F592">
        <v>461.13</v>
      </c>
      <c r="G592" t="s">
        <v>2831</v>
      </c>
      <c r="H592" t="s">
        <v>3068</v>
      </c>
      <c r="I592" t="s">
        <v>3072</v>
      </c>
      <c r="J592" t="s">
        <v>3665</v>
      </c>
      <c r="K592">
        <v>4</v>
      </c>
      <c r="L592" t="s">
        <v>4329</v>
      </c>
      <c r="M592" t="s">
        <v>4280</v>
      </c>
      <c r="N592">
        <v>922.26</v>
      </c>
      <c r="O592">
        <f t="shared" si="54"/>
        <v>922.26</v>
      </c>
      <c r="P592" t="str">
        <f t="shared" si="55"/>
        <v>Sep</v>
      </c>
      <c r="Q592" t="str">
        <f t="shared" si="56"/>
        <v>Q3</v>
      </c>
      <c r="R592" s="5" t="str">
        <f t="shared" si="57"/>
        <v>Large</v>
      </c>
      <c r="S592" s="5" t="str">
        <f t="shared" si="58"/>
        <v>Pending</v>
      </c>
      <c r="T592" s="5" t="str">
        <f t="shared" si="59"/>
        <v>Yes</v>
      </c>
    </row>
    <row r="593" spans="1:20"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c r="O593">
        <f t="shared" si="54"/>
        <v>605.28</v>
      </c>
      <c r="P593" t="str">
        <f t="shared" si="55"/>
        <v>Nov</v>
      </c>
      <c r="Q593" t="str">
        <f t="shared" si="56"/>
        <v>Q4</v>
      </c>
      <c r="R593" s="5" t="str">
        <f t="shared" si="57"/>
        <v>Large</v>
      </c>
      <c r="S593" s="5" t="str">
        <f t="shared" si="58"/>
        <v>Pending</v>
      </c>
      <c r="T593" s="5" t="str">
        <f t="shared" si="59"/>
        <v>Yes</v>
      </c>
    </row>
    <row r="594" spans="1:20" x14ac:dyDescent="0.35">
      <c r="A594" t="s">
        <v>606</v>
      </c>
      <c r="B594" s="2">
        <v>45405</v>
      </c>
      <c r="C594" t="s">
        <v>1806</v>
      </c>
      <c r="D594" t="s">
        <v>2404</v>
      </c>
      <c r="E594">
        <v>3</v>
      </c>
      <c r="F594">
        <v>204.27</v>
      </c>
      <c r="G594" t="s">
        <v>2803</v>
      </c>
      <c r="H594" t="s">
        <v>3066</v>
      </c>
      <c r="I594" t="s">
        <v>3072</v>
      </c>
      <c r="J594" t="s">
        <v>3667</v>
      </c>
      <c r="K594">
        <v>4</v>
      </c>
      <c r="L594" t="s">
        <v>4329</v>
      </c>
      <c r="M594" t="s">
        <v>4282</v>
      </c>
      <c r="N594">
        <v>612.81000000000006</v>
      </c>
      <c r="O594">
        <f t="shared" si="54"/>
        <v>612.81000000000006</v>
      </c>
      <c r="P594" t="str">
        <f t="shared" si="55"/>
        <v>Apr</v>
      </c>
      <c r="Q594" t="str">
        <f t="shared" si="56"/>
        <v>Q2</v>
      </c>
      <c r="R594" s="5" t="str">
        <f t="shared" si="57"/>
        <v>Large</v>
      </c>
      <c r="S594" s="5" t="str">
        <f t="shared" si="58"/>
        <v>Pending</v>
      </c>
      <c r="T594" s="5" t="str">
        <f t="shared" si="59"/>
        <v>Yes</v>
      </c>
    </row>
    <row r="595" spans="1:20"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c r="O595">
        <f t="shared" si="54"/>
        <v>489.8</v>
      </c>
      <c r="P595" t="str">
        <f t="shared" si="55"/>
        <v>Aug</v>
      </c>
      <c r="Q595" t="str">
        <f t="shared" si="56"/>
        <v>Q3</v>
      </c>
      <c r="R595" s="5" t="str">
        <f t="shared" si="57"/>
        <v>Medium</v>
      </c>
      <c r="S595" s="5" t="str">
        <f t="shared" si="58"/>
        <v>Pending</v>
      </c>
      <c r="T595" s="5" t="str">
        <f t="shared" si="59"/>
        <v>Yes</v>
      </c>
    </row>
    <row r="596" spans="1:20" x14ac:dyDescent="0.35">
      <c r="A596" t="s">
        <v>608</v>
      </c>
      <c r="B596" s="2">
        <v>45343</v>
      </c>
      <c r="C596" t="s">
        <v>1808</v>
      </c>
      <c r="D596" t="s">
        <v>2404</v>
      </c>
      <c r="E596">
        <v>5</v>
      </c>
      <c r="F596">
        <v>72.64</v>
      </c>
      <c r="G596" t="s">
        <v>2538</v>
      </c>
      <c r="H596" t="s">
        <v>3067</v>
      </c>
      <c r="I596" t="s">
        <v>3071</v>
      </c>
      <c r="J596" t="s">
        <v>3669</v>
      </c>
      <c r="K596">
        <v>7</v>
      </c>
      <c r="L596" t="s">
        <v>4329</v>
      </c>
      <c r="M596" t="s">
        <v>4280</v>
      </c>
      <c r="N596">
        <v>363.2</v>
      </c>
      <c r="O596">
        <f t="shared" si="54"/>
        <v>363.2</v>
      </c>
      <c r="P596" t="str">
        <f t="shared" si="55"/>
        <v>Feb</v>
      </c>
      <c r="Q596" t="str">
        <f t="shared" si="56"/>
        <v>Q1</v>
      </c>
      <c r="R596" s="5" t="str">
        <f t="shared" si="57"/>
        <v>Medium</v>
      </c>
      <c r="S596" s="5" t="str">
        <f t="shared" si="58"/>
        <v>Pending</v>
      </c>
      <c r="T596" s="5" t="str">
        <f t="shared" si="59"/>
        <v>Yes</v>
      </c>
    </row>
    <row r="597" spans="1:20"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c r="O597">
        <f t="shared" si="54"/>
        <v>770.32</v>
      </c>
      <c r="P597" t="str">
        <f t="shared" si="55"/>
        <v>Jan</v>
      </c>
      <c r="Q597" t="str">
        <f t="shared" si="56"/>
        <v>Q1</v>
      </c>
      <c r="R597" s="5" t="str">
        <f t="shared" si="57"/>
        <v>Large</v>
      </c>
      <c r="S597" s="5" t="str">
        <f t="shared" si="58"/>
        <v>Pending</v>
      </c>
      <c r="T597" s="5" t="str">
        <f t="shared" si="59"/>
        <v>Yes</v>
      </c>
    </row>
    <row r="598" spans="1:20"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c r="O598">
        <f t="shared" si="54"/>
        <v>1819.23</v>
      </c>
      <c r="P598" t="str">
        <f t="shared" si="55"/>
        <v>Jun</v>
      </c>
      <c r="Q598" t="str">
        <f t="shared" si="56"/>
        <v>Q2</v>
      </c>
      <c r="R598" s="5" t="str">
        <f t="shared" si="57"/>
        <v>Large</v>
      </c>
      <c r="S598" s="5" t="str">
        <f t="shared" si="58"/>
        <v>Pending</v>
      </c>
      <c r="T598" s="5" t="str">
        <f t="shared" si="59"/>
        <v>Yes</v>
      </c>
    </row>
    <row r="599" spans="1:20"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c r="O599">
        <f t="shared" si="54"/>
        <v>423.64</v>
      </c>
      <c r="P599" t="str">
        <f t="shared" si="55"/>
        <v>Nov</v>
      </c>
      <c r="Q599" t="str">
        <f t="shared" si="56"/>
        <v>Q4</v>
      </c>
      <c r="R599" s="5" t="str">
        <f t="shared" si="57"/>
        <v>Medium</v>
      </c>
      <c r="S599" s="5" t="str">
        <f t="shared" si="58"/>
        <v>Pending</v>
      </c>
      <c r="T599" s="5" t="str">
        <f t="shared" si="59"/>
        <v>Yes</v>
      </c>
    </row>
    <row r="600" spans="1:20" x14ac:dyDescent="0.35">
      <c r="A600" t="s">
        <v>612</v>
      </c>
      <c r="B600" s="2">
        <v>45408</v>
      </c>
      <c r="C600" t="s">
        <v>1812</v>
      </c>
      <c r="D600" t="s">
        <v>2409</v>
      </c>
      <c r="E600">
        <v>5</v>
      </c>
      <c r="F600">
        <v>495.35</v>
      </c>
      <c r="G600" t="s">
        <v>2693</v>
      </c>
      <c r="H600" t="s">
        <v>3067</v>
      </c>
      <c r="I600" t="s">
        <v>3074</v>
      </c>
      <c r="J600" t="s">
        <v>3673</v>
      </c>
      <c r="K600">
        <v>5</v>
      </c>
      <c r="L600" t="s">
        <v>4329</v>
      </c>
      <c r="M600" t="s">
        <v>4281</v>
      </c>
      <c r="N600">
        <v>2476.75</v>
      </c>
      <c r="O600">
        <f t="shared" si="54"/>
        <v>2476.75</v>
      </c>
      <c r="P600" t="str">
        <f t="shared" si="55"/>
        <v>Apr</v>
      </c>
      <c r="Q600" t="str">
        <f t="shared" si="56"/>
        <v>Q2</v>
      </c>
      <c r="R600" s="5" t="str">
        <f t="shared" si="57"/>
        <v>Large</v>
      </c>
      <c r="S600" s="5" t="str">
        <f t="shared" si="58"/>
        <v>Pending</v>
      </c>
      <c r="T600" s="5" t="str">
        <f t="shared" si="59"/>
        <v>Yes</v>
      </c>
    </row>
    <row r="601" spans="1:20"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c r="O601">
        <f t="shared" si="54"/>
        <v>1670.97</v>
      </c>
      <c r="P601" t="str">
        <f t="shared" si="55"/>
        <v>Jun</v>
      </c>
      <c r="Q601" t="str">
        <f t="shared" si="56"/>
        <v>Q2</v>
      </c>
      <c r="R601" s="5" t="str">
        <f t="shared" si="57"/>
        <v>Large</v>
      </c>
      <c r="S601" s="5" t="str">
        <f t="shared" si="58"/>
        <v>Pending</v>
      </c>
      <c r="T601" s="5" t="str">
        <f t="shared" si="59"/>
        <v>Yes</v>
      </c>
    </row>
    <row r="602" spans="1:20"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c r="O602">
        <f t="shared" si="54"/>
        <v>72.31</v>
      </c>
      <c r="P602" t="str">
        <f t="shared" si="55"/>
        <v>May</v>
      </c>
      <c r="Q602" t="str">
        <f t="shared" si="56"/>
        <v>Q2</v>
      </c>
      <c r="R602" s="5" t="str">
        <f t="shared" si="57"/>
        <v>Small</v>
      </c>
      <c r="S602" s="5" t="str">
        <f t="shared" si="58"/>
        <v>Pending</v>
      </c>
      <c r="T602" s="5" t="str">
        <f t="shared" si="59"/>
        <v>Yes</v>
      </c>
    </row>
    <row r="603" spans="1:20" x14ac:dyDescent="0.35">
      <c r="A603" t="s">
        <v>615</v>
      </c>
      <c r="B603" s="2">
        <v>45201</v>
      </c>
      <c r="C603" t="s">
        <v>1815</v>
      </c>
      <c r="D603" t="s">
        <v>2403</v>
      </c>
      <c r="E603">
        <v>5</v>
      </c>
      <c r="F603">
        <v>24.82</v>
      </c>
      <c r="G603" t="s">
        <v>2836</v>
      </c>
      <c r="H603" t="s">
        <v>3067</v>
      </c>
      <c r="I603" t="s">
        <v>3070</v>
      </c>
      <c r="J603" t="s">
        <v>3676</v>
      </c>
      <c r="K603">
        <v>10</v>
      </c>
      <c r="L603" t="s">
        <v>4329</v>
      </c>
      <c r="M603" t="s">
        <v>4279</v>
      </c>
      <c r="N603">
        <v>124.1</v>
      </c>
      <c r="O603">
        <f t="shared" si="54"/>
        <v>124.1</v>
      </c>
      <c r="P603" t="str">
        <f t="shared" si="55"/>
        <v>Oct</v>
      </c>
      <c r="Q603" t="str">
        <f t="shared" si="56"/>
        <v>Q4</v>
      </c>
      <c r="R603" s="5" t="str">
        <f t="shared" si="57"/>
        <v>Medium</v>
      </c>
      <c r="S603" s="5" t="str">
        <f t="shared" si="58"/>
        <v>Pending</v>
      </c>
      <c r="T603" s="5" t="str">
        <f t="shared" si="59"/>
        <v>Yes</v>
      </c>
    </row>
    <row r="604" spans="1:20"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c r="O604">
        <f t="shared" si="54"/>
        <v>104.16</v>
      </c>
      <c r="P604" t="str">
        <f t="shared" si="55"/>
        <v>Mar</v>
      </c>
      <c r="Q604" t="str">
        <f t="shared" si="56"/>
        <v>Q1</v>
      </c>
      <c r="R604" s="5" t="str">
        <f t="shared" si="57"/>
        <v>Medium</v>
      </c>
      <c r="S604" s="5" t="str">
        <f t="shared" si="58"/>
        <v>Pending</v>
      </c>
      <c r="T604" s="5" t="str">
        <f t="shared" si="59"/>
        <v>Yes</v>
      </c>
    </row>
    <row r="605" spans="1:20"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c r="O605">
        <f t="shared" si="54"/>
        <v>657.07</v>
      </c>
      <c r="P605" t="str">
        <f t="shared" si="55"/>
        <v>Oct</v>
      </c>
      <c r="Q605" t="str">
        <f t="shared" si="56"/>
        <v>Q4</v>
      </c>
      <c r="R605" s="5" t="str">
        <f t="shared" si="57"/>
        <v>Large</v>
      </c>
      <c r="S605" s="5" t="str">
        <f t="shared" si="58"/>
        <v>Pending</v>
      </c>
      <c r="T605" s="5" t="str">
        <f t="shared" si="59"/>
        <v>Yes</v>
      </c>
    </row>
    <row r="606" spans="1:20" x14ac:dyDescent="0.35">
      <c r="A606" t="s">
        <v>618</v>
      </c>
      <c r="B606" s="2">
        <v>45830</v>
      </c>
      <c r="C606" t="s">
        <v>1817</v>
      </c>
      <c r="D606" t="s">
        <v>2406</v>
      </c>
      <c r="E606">
        <v>3</v>
      </c>
      <c r="F606">
        <v>32.619999999999997</v>
      </c>
      <c r="G606" t="s">
        <v>2661</v>
      </c>
      <c r="H606" t="s">
        <v>3065</v>
      </c>
      <c r="I606" t="s">
        <v>3073</v>
      </c>
      <c r="J606" t="s">
        <v>3679</v>
      </c>
      <c r="K606">
        <v>6</v>
      </c>
      <c r="L606" t="s">
        <v>4329</v>
      </c>
      <c r="M606" t="s">
        <v>4281</v>
      </c>
      <c r="N606">
        <v>97.859999999999985</v>
      </c>
      <c r="O606">
        <f t="shared" si="54"/>
        <v>97.859999999999985</v>
      </c>
      <c r="P606" t="str">
        <f t="shared" si="55"/>
        <v>Jun</v>
      </c>
      <c r="Q606" t="str">
        <f t="shared" si="56"/>
        <v>Q2</v>
      </c>
      <c r="R606" s="5" t="str">
        <f t="shared" si="57"/>
        <v>Small</v>
      </c>
      <c r="S606" s="5" t="str">
        <f t="shared" si="58"/>
        <v>Completed</v>
      </c>
      <c r="T606" s="5" t="str">
        <f t="shared" si="59"/>
        <v>Yes</v>
      </c>
    </row>
    <row r="607" spans="1:20"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c r="O607">
        <f t="shared" si="54"/>
        <v>457.82</v>
      </c>
      <c r="P607" t="str">
        <f t="shared" si="55"/>
        <v>May</v>
      </c>
      <c r="Q607" t="str">
        <f t="shared" si="56"/>
        <v>Q2</v>
      </c>
      <c r="R607" s="5" t="str">
        <f t="shared" si="57"/>
        <v>Medium</v>
      </c>
      <c r="S607" s="5" t="str">
        <f t="shared" si="58"/>
        <v>Pending</v>
      </c>
      <c r="T607" s="5" t="str">
        <f t="shared" si="59"/>
        <v>Yes</v>
      </c>
    </row>
    <row r="608" spans="1:20"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c r="O608">
        <f t="shared" si="54"/>
        <v>824.25</v>
      </c>
      <c r="P608" t="str">
        <f t="shared" si="55"/>
        <v>Nov</v>
      </c>
      <c r="Q608" t="str">
        <f t="shared" si="56"/>
        <v>Q4</v>
      </c>
      <c r="R608" s="5" t="str">
        <f t="shared" si="57"/>
        <v>Large</v>
      </c>
      <c r="S608" s="5" t="str">
        <f t="shared" si="58"/>
        <v>Pending</v>
      </c>
      <c r="T608" s="5" t="str">
        <f t="shared" si="59"/>
        <v>Yes</v>
      </c>
    </row>
    <row r="609" spans="1:20"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c r="O609">
        <f t="shared" si="54"/>
        <v>2536.1999999999998</v>
      </c>
      <c r="P609" t="str">
        <f t="shared" si="55"/>
        <v>May</v>
      </c>
      <c r="Q609" t="str">
        <f t="shared" si="56"/>
        <v>Q2</v>
      </c>
      <c r="R609" s="5" t="str">
        <f t="shared" si="57"/>
        <v>Large</v>
      </c>
      <c r="S609" s="5" t="str">
        <f t="shared" si="58"/>
        <v>Pending</v>
      </c>
      <c r="T609" s="5" t="str">
        <f t="shared" si="59"/>
        <v>Yes</v>
      </c>
    </row>
    <row r="610" spans="1:20"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c r="O610">
        <f t="shared" si="54"/>
        <v>2715.7999999999997</v>
      </c>
      <c r="P610" t="str">
        <f t="shared" si="55"/>
        <v>Jul</v>
      </c>
      <c r="Q610" t="str">
        <f t="shared" si="56"/>
        <v>Q3</v>
      </c>
      <c r="R610" s="5" t="str">
        <f t="shared" si="57"/>
        <v>Large</v>
      </c>
      <c r="S610" s="5" t="str">
        <f t="shared" si="58"/>
        <v>Pending</v>
      </c>
      <c r="T610" s="5" t="str">
        <f t="shared" si="59"/>
        <v>Yes</v>
      </c>
    </row>
    <row r="611" spans="1:20"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c r="O611">
        <f t="shared" si="54"/>
        <v>1347.3899999999999</v>
      </c>
      <c r="P611" t="str">
        <f t="shared" si="55"/>
        <v>Jan</v>
      </c>
      <c r="Q611" t="str">
        <f t="shared" si="56"/>
        <v>Q1</v>
      </c>
      <c r="R611" s="5" t="str">
        <f t="shared" si="57"/>
        <v>Large</v>
      </c>
      <c r="S611" s="5" t="str">
        <f t="shared" si="58"/>
        <v>Pending</v>
      </c>
      <c r="T611" s="5" t="str">
        <f t="shared" si="59"/>
        <v>Yes</v>
      </c>
    </row>
    <row r="612" spans="1:20"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c r="O612">
        <f t="shared" si="54"/>
        <v>1948.1</v>
      </c>
      <c r="P612" t="str">
        <f t="shared" si="55"/>
        <v>Jun</v>
      </c>
      <c r="Q612" t="str">
        <f t="shared" si="56"/>
        <v>Q2</v>
      </c>
      <c r="R612" s="5" t="str">
        <f t="shared" si="57"/>
        <v>Large</v>
      </c>
      <c r="S612" s="5" t="str">
        <f t="shared" si="58"/>
        <v>Pending</v>
      </c>
      <c r="T612" s="5" t="str">
        <f t="shared" si="59"/>
        <v>Yes</v>
      </c>
    </row>
    <row r="613" spans="1:20"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c r="O613">
        <f t="shared" si="54"/>
        <v>305.17</v>
      </c>
      <c r="P613" t="str">
        <f t="shared" si="55"/>
        <v>Apr</v>
      </c>
      <c r="Q613" t="str">
        <f t="shared" si="56"/>
        <v>Q2</v>
      </c>
      <c r="R613" s="5" t="str">
        <f t="shared" si="57"/>
        <v>Medium</v>
      </c>
      <c r="S613" s="5" t="str">
        <f t="shared" si="58"/>
        <v>Pending</v>
      </c>
      <c r="T613" s="5" t="str">
        <f t="shared" si="59"/>
        <v>Yes</v>
      </c>
    </row>
    <row r="614" spans="1:20" x14ac:dyDescent="0.35">
      <c r="A614" t="s">
        <v>626</v>
      </c>
      <c r="B614" s="2">
        <v>45079</v>
      </c>
      <c r="C614" t="s">
        <v>1825</v>
      </c>
      <c r="D614" t="s">
        <v>2406</v>
      </c>
      <c r="E614">
        <v>3</v>
      </c>
      <c r="F614">
        <v>445.12</v>
      </c>
      <c r="G614" t="s">
        <v>2678</v>
      </c>
      <c r="H614" t="s">
        <v>3068</v>
      </c>
      <c r="I614" t="s">
        <v>3071</v>
      </c>
      <c r="J614" t="s">
        <v>3687</v>
      </c>
      <c r="K614">
        <v>8</v>
      </c>
      <c r="L614" t="s">
        <v>4329</v>
      </c>
      <c r="M614" t="s">
        <v>4282</v>
      </c>
      <c r="N614">
        <v>1335.36</v>
      </c>
      <c r="O614">
        <f t="shared" si="54"/>
        <v>1335.3600000000001</v>
      </c>
      <c r="P614" t="str">
        <f t="shared" si="55"/>
        <v>Jun</v>
      </c>
      <c r="Q614" t="str">
        <f t="shared" si="56"/>
        <v>Q2</v>
      </c>
      <c r="R614" s="5" t="str">
        <f t="shared" si="57"/>
        <v>Large</v>
      </c>
      <c r="S614" s="5" t="str">
        <f t="shared" si="58"/>
        <v>Pending</v>
      </c>
      <c r="T614" s="5" t="str">
        <f t="shared" si="59"/>
        <v>Yes</v>
      </c>
    </row>
    <row r="615" spans="1:20"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c r="O615">
        <f t="shared" si="54"/>
        <v>460.72</v>
      </c>
      <c r="P615" t="str">
        <f t="shared" si="55"/>
        <v>Dec</v>
      </c>
      <c r="Q615" t="str">
        <f t="shared" si="56"/>
        <v>Q4</v>
      </c>
      <c r="R615" s="5" t="str">
        <f t="shared" si="57"/>
        <v>Medium</v>
      </c>
      <c r="S615" s="5" t="str">
        <f t="shared" si="58"/>
        <v>Pending</v>
      </c>
      <c r="T615" s="5" t="str">
        <f t="shared" si="59"/>
        <v>Yes</v>
      </c>
    </row>
    <row r="616" spans="1:20" x14ac:dyDescent="0.35">
      <c r="A616" t="s">
        <v>628</v>
      </c>
      <c r="B616" s="2">
        <v>45359</v>
      </c>
      <c r="C616" t="s">
        <v>1827</v>
      </c>
      <c r="D616" t="s">
        <v>2404</v>
      </c>
      <c r="E616">
        <v>1</v>
      </c>
      <c r="F616">
        <v>96.81</v>
      </c>
      <c r="G616" t="s">
        <v>2521</v>
      </c>
      <c r="H616" t="s">
        <v>3068</v>
      </c>
      <c r="I616" t="s">
        <v>3071</v>
      </c>
      <c r="J616" t="s">
        <v>3689</v>
      </c>
      <c r="K616">
        <v>3</v>
      </c>
      <c r="L616" t="s">
        <v>4329</v>
      </c>
      <c r="M616" t="s">
        <v>4279</v>
      </c>
      <c r="N616">
        <v>96.81</v>
      </c>
      <c r="O616">
        <f t="shared" si="54"/>
        <v>96.81</v>
      </c>
      <c r="P616" t="str">
        <f t="shared" si="55"/>
        <v>Mar</v>
      </c>
      <c r="Q616" t="str">
        <f t="shared" si="56"/>
        <v>Q1</v>
      </c>
      <c r="R616" s="5" t="str">
        <f t="shared" si="57"/>
        <v>Small</v>
      </c>
      <c r="S616" s="5" t="str">
        <f t="shared" si="58"/>
        <v>Pending</v>
      </c>
      <c r="T616" s="5" t="str">
        <f t="shared" si="59"/>
        <v>Yes</v>
      </c>
    </row>
    <row r="617" spans="1:20"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c r="O617">
        <f t="shared" si="54"/>
        <v>2300.6999999999998</v>
      </c>
      <c r="P617" t="str">
        <f t="shared" si="55"/>
        <v>Mar</v>
      </c>
      <c r="Q617" t="str">
        <f t="shared" si="56"/>
        <v>Q1</v>
      </c>
      <c r="R617" s="5" t="str">
        <f t="shared" si="57"/>
        <v>Large</v>
      </c>
      <c r="S617" s="5" t="str">
        <f t="shared" si="58"/>
        <v>Pending</v>
      </c>
      <c r="T617" s="5" t="str">
        <f t="shared" si="59"/>
        <v>Yes</v>
      </c>
    </row>
    <row r="618" spans="1:20"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c r="O618">
        <f t="shared" si="54"/>
        <v>1804.8000000000002</v>
      </c>
      <c r="P618" t="str">
        <f t="shared" si="55"/>
        <v>Oct</v>
      </c>
      <c r="Q618" t="str">
        <f t="shared" si="56"/>
        <v>Q4</v>
      </c>
      <c r="R618" s="5" t="str">
        <f t="shared" si="57"/>
        <v>Large</v>
      </c>
      <c r="S618" s="5" t="str">
        <f t="shared" si="58"/>
        <v>Pending</v>
      </c>
      <c r="T618" s="5" t="str">
        <f t="shared" si="59"/>
        <v>Yes</v>
      </c>
    </row>
    <row r="619" spans="1:20" x14ac:dyDescent="0.35">
      <c r="A619" t="s">
        <v>631</v>
      </c>
      <c r="B619" s="2">
        <v>45330</v>
      </c>
      <c r="C619" t="s">
        <v>1830</v>
      </c>
      <c r="D619" t="s">
        <v>2405</v>
      </c>
      <c r="E619">
        <v>3</v>
      </c>
      <c r="F619">
        <v>184.47</v>
      </c>
      <c r="G619" t="s">
        <v>2844</v>
      </c>
      <c r="H619" t="s">
        <v>3066</v>
      </c>
      <c r="I619" t="s">
        <v>3071</v>
      </c>
      <c r="J619" t="s">
        <v>3692</v>
      </c>
      <c r="K619">
        <v>4</v>
      </c>
      <c r="L619" t="s">
        <v>4329</v>
      </c>
      <c r="M619" t="s">
        <v>4279</v>
      </c>
      <c r="N619">
        <v>553.41</v>
      </c>
      <c r="O619">
        <f t="shared" si="54"/>
        <v>553.41</v>
      </c>
      <c r="P619" t="str">
        <f t="shared" si="55"/>
        <v>Feb</v>
      </c>
      <c r="Q619" t="str">
        <f t="shared" si="56"/>
        <v>Q1</v>
      </c>
      <c r="R619" s="5" t="str">
        <f t="shared" si="57"/>
        <v>Large</v>
      </c>
      <c r="S619" s="5" t="str">
        <f t="shared" si="58"/>
        <v>Pending</v>
      </c>
      <c r="T619" s="5" t="str">
        <f t="shared" si="59"/>
        <v>Yes</v>
      </c>
    </row>
    <row r="620" spans="1:20" x14ac:dyDescent="0.35">
      <c r="A620" t="s">
        <v>632</v>
      </c>
      <c r="B620" s="2">
        <v>45538</v>
      </c>
      <c r="C620" t="s">
        <v>1831</v>
      </c>
      <c r="D620" t="s">
        <v>2405</v>
      </c>
      <c r="E620">
        <v>1</v>
      </c>
      <c r="F620">
        <v>411.34</v>
      </c>
      <c r="G620" t="s">
        <v>2845</v>
      </c>
      <c r="H620" t="s">
        <v>3065</v>
      </c>
      <c r="I620" t="s">
        <v>3072</v>
      </c>
      <c r="J620" t="s">
        <v>3693</v>
      </c>
      <c r="K620">
        <v>5</v>
      </c>
      <c r="L620" t="s">
        <v>4329</v>
      </c>
      <c r="M620" t="s">
        <v>4278</v>
      </c>
      <c r="N620">
        <v>411.34</v>
      </c>
      <c r="O620">
        <f t="shared" si="54"/>
        <v>411.34</v>
      </c>
      <c r="P620" t="str">
        <f t="shared" si="55"/>
        <v>Sep</v>
      </c>
      <c r="Q620" t="str">
        <f t="shared" si="56"/>
        <v>Q3</v>
      </c>
      <c r="R620" s="5" t="str">
        <f t="shared" si="57"/>
        <v>Medium</v>
      </c>
      <c r="S620" s="5" t="str">
        <f t="shared" si="58"/>
        <v>Pending</v>
      </c>
      <c r="T620" s="5" t="str">
        <f t="shared" si="59"/>
        <v>Yes</v>
      </c>
    </row>
    <row r="621" spans="1:20" x14ac:dyDescent="0.35">
      <c r="A621" t="s">
        <v>633</v>
      </c>
      <c r="B621" s="2">
        <v>45489</v>
      </c>
      <c r="C621" t="s">
        <v>1832</v>
      </c>
      <c r="D621" t="s">
        <v>2408</v>
      </c>
      <c r="E621">
        <v>1</v>
      </c>
      <c r="F621">
        <v>532.89</v>
      </c>
      <c r="G621" t="s">
        <v>2783</v>
      </c>
      <c r="H621" t="s">
        <v>3068</v>
      </c>
      <c r="I621" t="s">
        <v>3074</v>
      </c>
      <c r="J621" t="s">
        <v>3694</v>
      </c>
      <c r="K621">
        <v>2</v>
      </c>
      <c r="L621" t="s">
        <v>4329</v>
      </c>
      <c r="M621" t="s">
        <v>4279</v>
      </c>
      <c r="N621">
        <v>532.89</v>
      </c>
      <c r="O621">
        <f t="shared" si="54"/>
        <v>532.89</v>
      </c>
      <c r="P621" t="str">
        <f t="shared" si="55"/>
        <v>Jul</v>
      </c>
      <c r="Q621" t="str">
        <f t="shared" si="56"/>
        <v>Q3</v>
      </c>
      <c r="R621" s="5" t="str">
        <f t="shared" si="57"/>
        <v>Large</v>
      </c>
      <c r="S621" s="5" t="str">
        <f t="shared" si="58"/>
        <v>Pending</v>
      </c>
      <c r="T621" s="5" t="str">
        <f t="shared" si="59"/>
        <v>Yes</v>
      </c>
    </row>
    <row r="622" spans="1:20"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c r="O622">
        <f t="shared" si="54"/>
        <v>409.02</v>
      </c>
      <c r="P622" t="str">
        <f t="shared" si="55"/>
        <v>Mar</v>
      </c>
      <c r="Q622" t="str">
        <f t="shared" si="56"/>
        <v>Q1</v>
      </c>
      <c r="R622" s="5" t="str">
        <f t="shared" si="57"/>
        <v>Medium</v>
      </c>
      <c r="S622" s="5" t="str">
        <f t="shared" si="58"/>
        <v>Pending</v>
      </c>
      <c r="T622" s="5" t="str">
        <f t="shared" si="59"/>
        <v>Yes</v>
      </c>
    </row>
    <row r="623" spans="1:20"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c r="O623">
        <f t="shared" si="54"/>
        <v>2380.0500000000002</v>
      </c>
      <c r="P623" t="str">
        <f t="shared" si="55"/>
        <v>Oct</v>
      </c>
      <c r="Q623" t="str">
        <f t="shared" si="56"/>
        <v>Q4</v>
      </c>
      <c r="R623" s="5" t="str">
        <f t="shared" si="57"/>
        <v>Large</v>
      </c>
      <c r="S623" s="5" t="str">
        <f t="shared" si="58"/>
        <v>Completed</v>
      </c>
      <c r="T623" s="5" t="str">
        <f t="shared" si="59"/>
        <v>Yes</v>
      </c>
    </row>
    <row r="624" spans="1:20" x14ac:dyDescent="0.35">
      <c r="A624" t="s">
        <v>636</v>
      </c>
      <c r="B624" s="2">
        <v>45598</v>
      </c>
      <c r="C624" t="s">
        <v>1835</v>
      </c>
      <c r="D624" t="s">
        <v>2409</v>
      </c>
      <c r="E624">
        <v>5</v>
      </c>
      <c r="F624">
        <v>236.38</v>
      </c>
      <c r="G624" t="s">
        <v>2445</v>
      </c>
      <c r="H624" t="s">
        <v>3067</v>
      </c>
      <c r="I624" t="s">
        <v>3072</v>
      </c>
      <c r="J624" t="s">
        <v>3697</v>
      </c>
      <c r="K624">
        <v>7</v>
      </c>
      <c r="L624" t="s">
        <v>4329</v>
      </c>
      <c r="M624" t="s">
        <v>4281</v>
      </c>
      <c r="N624">
        <v>1181.9000000000001</v>
      </c>
      <c r="O624">
        <f t="shared" si="54"/>
        <v>1181.9000000000001</v>
      </c>
      <c r="P624" t="str">
        <f t="shared" si="55"/>
        <v>Nov</v>
      </c>
      <c r="Q624" t="str">
        <f t="shared" si="56"/>
        <v>Q4</v>
      </c>
      <c r="R624" s="5" t="str">
        <f t="shared" si="57"/>
        <v>Large</v>
      </c>
      <c r="S624" s="5" t="str">
        <f t="shared" si="58"/>
        <v>Pending</v>
      </c>
      <c r="T624" s="5" t="str">
        <f t="shared" si="59"/>
        <v>Yes</v>
      </c>
    </row>
    <row r="625" spans="1:20"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c r="O625">
        <f t="shared" si="54"/>
        <v>1188</v>
      </c>
      <c r="P625" t="str">
        <f t="shared" si="55"/>
        <v>Jun</v>
      </c>
      <c r="Q625" t="str">
        <f t="shared" si="56"/>
        <v>Q2</v>
      </c>
      <c r="R625" s="5" t="str">
        <f t="shared" si="57"/>
        <v>Large</v>
      </c>
      <c r="S625" s="5" t="str">
        <f t="shared" si="58"/>
        <v>Pending</v>
      </c>
      <c r="T625" s="5" t="str">
        <f t="shared" si="59"/>
        <v>Yes</v>
      </c>
    </row>
    <row r="626" spans="1:20" x14ac:dyDescent="0.35">
      <c r="A626" t="s">
        <v>638</v>
      </c>
      <c r="B626" s="2">
        <v>45307</v>
      </c>
      <c r="C626" t="s">
        <v>1837</v>
      </c>
      <c r="D626" t="s">
        <v>2405</v>
      </c>
      <c r="E626">
        <v>5</v>
      </c>
      <c r="F626">
        <v>341.96</v>
      </c>
      <c r="G626" t="s">
        <v>2710</v>
      </c>
      <c r="H626" t="s">
        <v>3065</v>
      </c>
      <c r="I626" t="s">
        <v>3073</v>
      </c>
      <c r="J626" t="s">
        <v>3699</v>
      </c>
      <c r="K626">
        <v>6</v>
      </c>
      <c r="L626" t="s">
        <v>4329</v>
      </c>
      <c r="M626" t="s">
        <v>4280</v>
      </c>
      <c r="N626">
        <v>1709.8</v>
      </c>
      <c r="O626">
        <f t="shared" si="54"/>
        <v>1709.8</v>
      </c>
      <c r="P626" t="str">
        <f t="shared" si="55"/>
        <v>Jan</v>
      </c>
      <c r="Q626" t="str">
        <f t="shared" si="56"/>
        <v>Q1</v>
      </c>
      <c r="R626" s="5" t="str">
        <f t="shared" si="57"/>
        <v>Large</v>
      </c>
      <c r="S626" s="5" t="str">
        <f t="shared" si="58"/>
        <v>Completed</v>
      </c>
      <c r="T626" s="5" t="str">
        <f t="shared" si="59"/>
        <v>Yes</v>
      </c>
    </row>
    <row r="627" spans="1:20"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c r="O627">
        <f t="shared" si="54"/>
        <v>672.89</v>
      </c>
      <c r="P627" t="str">
        <f t="shared" si="55"/>
        <v>Sep</v>
      </c>
      <c r="Q627" t="str">
        <f t="shared" si="56"/>
        <v>Q3</v>
      </c>
      <c r="R627" s="5" t="str">
        <f t="shared" si="57"/>
        <v>Large</v>
      </c>
      <c r="S627" s="5" t="str">
        <f t="shared" si="58"/>
        <v>Pending</v>
      </c>
      <c r="T627" s="5" t="str">
        <f t="shared" si="59"/>
        <v>Yes</v>
      </c>
    </row>
    <row r="628" spans="1:20"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c r="O628">
        <f t="shared" si="54"/>
        <v>1314.96</v>
      </c>
      <c r="P628" t="str">
        <f t="shared" si="55"/>
        <v>Mar</v>
      </c>
      <c r="Q628" t="str">
        <f t="shared" si="56"/>
        <v>Q1</v>
      </c>
      <c r="R628" s="5" t="str">
        <f t="shared" si="57"/>
        <v>Large</v>
      </c>
      <c r="S628" s="5" t="str">
        <f t="shared" si="58"/>
        <v>Pending</v>
      </c>
      <c r="T628" s="5" t="str">
        <f t="shared" si="59"/>
        <v>Yes</v>
      </c>
    </row>
    <row r="629" spans="1:20"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c r="O629">
        <f t="shared" si="54"/>
        <v>1496.04</v>
      </c>
      <c r="P629" t="str">
        <f t="shared" si="55"/>
        <v>Aug</v>
      </c>
      <c r="Q629" t="str">
        <f t="shared" si="56"/>
        <v>Q3</v>
      </c>
      <c r="R629" s="5" t="str">
        <f t="shared" si="57"/>
        <v>Large</v>
      </c>
      <c r="S629" s="5" t="str">
        <f t="shared" si="58"/>
        <v>Pending</v>
      </c>
      <c r="T629" s="5" t="str">
        <f t="shared" si="59"/>
        <v>Yes</v>
      </c>
    </row>
    <row r="630" spans="1:20"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c r="O630">
        <f t="shared" si="54"/>
        <v>2793.15</v>
      </c>
      <c r="P630" t="str">
        <f t="shared" si="55"/>
        <v>Mar</v>
      </c>
      <c r="Q630" t="str">
        <f t="shared" si="56"/>
        <v>Q1</v>
      </c>
      <c r="R630" s="5" t="str">
        <f t="shared" si="57"/>
        <v>Large</v>
      </c>
      <c r="S630" s="5" t="str">
        <f t="shared" si="58"/>
        <v>Pending</v>
      </c>
      <c r="T630" s="5" t="str">
        <f t="shared" si="59"/>
        <v>Yes</v>
      </c>
    </row>
    <row r="631" spans="1:20" x14ac:dyDescent="0.35">
      <c r="A631" t="s">
        <v>643</v>
      </c>
      <c r="B631" s="2">
        <v>45114</v>
      </c>
      <c r="C631" t="s">
        <v>1842</v>
      </c>
      <c r="D631" t="s">
        <v>2404</v>
      </c>
      <c r="E631">
        <v>3</v>
      </c>
      <c r="F631">
        <v>19.73</v>
      </c>
      <c r="G631" t="s">
        <v>2850</v>
      </c>
      <c r="H631" t="s">
        <v>3066</v>
      </c>
      <c r="I631" t="s">
        <v>3074</v>
      </c>
      <c r="J631" t="s">
        <v>3704</v>
      </c>
      <c r="K631">
        <v>3</v>
      </c>
      <c r="L631" t="s">
        <v>4329</v>
      </c>
      <c r="M631" t="s">
        <v>4279</v>
      </c>
      <c r="N631">
        <v>59.19</v>
      </c>
      <c r="O631">
        <f t="shared" si="54"/>
        <v>59.19</v>
      </c>
      <c r="P631" t="str">
        <f t="shared" si="55"/>
        <v>Jul</v>
      </c>
      <c r="Q631" t="str">
        <f t="shared" si="56"/>
        <v>Q3</v>
      </c>
      <c r="R631" s="5" t="str">
        <f t="shared" si="57"/>
        <v>Small</v>
      </c>
      <c r="S631" s="5" t="str">
        <f t="shared" si="58"/>
        <v>Pending</v>
      </c>
      <c r="T631" s="5" t="str">
        <f t="shared" si="59"/>
        <v>Yes</v>
      </c>
    </row>
    <row r="632" spans="1:20" x14ac:dyDescent="0.35">
      <c r="A632" t="s">
        <v>644</v>
      </c>
      <c r="B632" s="2">
        <v>45100</v>
      </c>
      <c r="C632" t="s">
        <v>1843</v>
      </c>
      <c r="D632" t="s">
        <v>2403</v>
      </c>
      <c r="E632">
        <v>5</v>
      </c>
      <c r="F632">
        <v>248.84</v>
      </c>
      <c r="G632" t="s">
        <v>2851</v>
      </c>
      <c r="H632" t="s">
        <v>3065</v>
      </c>
      <c r="I632" t="s">
        <v>3071</v>
      </c>
      <c r="J632" t="s">
        <v>3705</v>
      </c>
      <c r="K632">
        <v>10</v>
      </c>
      <c r="L632" t="s">
        <v>4329</v>
      </c>
      <c r="M632" t="s">
        <v>4278</v>
      </c>
      <c r="N632">
        <v>1244.2</v>
      </c>
      <c r="O632">
        <f t="shared" si="54"/>
        <v>1244.2</v>
      </c>
      <c r="P632" t="str">
        <f t="shared" si="55"/>
        <v>Jun</v>
      </c>
      <c r="Q632" t="str">
        <f t="shared" si="56"/>
        <v>Q2</v>
      </c>
      <c r="R632" s="5" t="str">
        <f t="shared" si="57"/>
        <v>Large</v>
      </c>
      <c r="S632" s="5" t="str">
        <f t="shared" si="58"/>
        <v>Pending</v>
      </c>
      <c r="T632" s="5" t="str">
        <f t="shared" si="59"/>
        <v>Yes</v>
      </c>
    </row>
    <row r="633" spans="1:20"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c r="O633">
        <f t="shared" si="54"/>
        <v>138.32999999999998</v>
      </c>
      <c r="P633" t="str">
        <f t="shared" si="55"/>
        <v>Aug</v>
      </c>
      <c r="Q633" t="str">
        <f t="shared" si="56"/>
        <v>Q3</v>
      </c>
      <c r="R633" s="5" t="str">
        <f t="shared" si="57"/>
        <v>Medium</v>
      </c>
      <c r="S633" s="5" t="str">
        <f t="shared" si="58"/>
        <v>Pending</v>
      </c>
      <c r="T633" s="5" t="str">
        <f t="shared" si="59"/>
        <v>Yes</v>
      </c>
    </row>
    <row r="634" spans="1:20"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c r="O634">
        <f t="shared" si="54"/>
        <v>3390.7999999999997</v>
      </c>
      <c r="P634" t="str">
        <f t="shared" si="55"/>
        <v>May</v>
      </c>
      <c r="Q634" t="str">
        <f t="shared" si="56"/>
        <v>Q2</v>
      </c>
      <c r="R634" s="5" t="str">
        <f t="shared" si="57"/>
        <v>Large</v>
      </c>
      <c r="S634" s="5" t="str">
        <f t="shared" si="58"/>
        <v>Completed</v>
      </c>
      <c r="T634" s="5" t="str">
        <f t="shared" si="59"/>
        <v>Yes</v>
      </c>
    </row>
    <row r="635" spans="1:20"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c r="O635">
        <f t="shared" si="54"/>
        <v>3008.6000000000004</v>
      </c>
      <c r="P635" t="str">
        <f t="shared" si="55"/>
        <v>Apr</v>
      </c>
      <c r="Q635" t="str">
        <f t="shared" si="56"/>
        <v>Q2</v>
      </c>
      <c r="R635" s="5" t="str">
        <f t="shared" si="57"/>
        <v>Large</v>
      </c>
      <c r="S635" s="5" t="str">
        <f t="shared" si="58"/>
        <v>Pending</v>
      </c>
      <c r="T635" s="5" t="str">
        <f t="shared" si="59"/>
        <v>Yes</v>
      </c>
    </row>
    <row r="636" spans="1:20"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c r="O636">
        <f t="shared" si="54"/>
        <v>518.64</v>
      </c>
      <c r="P636" t="str">
        <f t="shared" si="55"/>
        <v>Apr</v>
      </c>
      <c r="Q636" t="str">
        <f t="shared" si="56"/>
        <v>Q2</v>
      </c>
      <c r="R636" s="5" t="str">
        <f t="shared" si="57"/>
        <v>Large</v>
      </c>
      <c r="S636" s="5" t="str">
        <f t="shared" si="58"/>
        <v>Completed</v>
      </c>
      <c r="T636" s="5" t="str">
        <f t="shared" si="59"/>
        <v>Yes</v>
      </c>
    </row>
    <row r="637" spans="1:20" x14ac:dyDescent="0.35">
      <c r="A637" t="s">
        <v>649</v>
      </c>
      <c r="B637" s="2">
        <v>45273</v>
      </c>
      <c r="C637" t="s">
        <v>1848</v>
      </c>
      <c r="D637" t="s">
        <v>2406</v>
      </c>
      <c r="E637">
        <v>3</v>
      </c>
      <c r="F637">
        <v>63.68</v>
      </c>
      <c r="G637" t="s">
        <v>2458</v>
      </c>
      <c r="H637" t="s">
        <v>3069</v>
      </c>
      <c r="I637" t="s">
        <v>3072</v>
      </c>
      <c r="J637" t="s">
        <v>3710</v>
      </c>
      <c r="K637">
        <v>6</v>
      </c>
      <c r="L637" t="s">
        <v>4329</v>
      </c>
      <c r="M637" t="s">
        <v>4281</v>
      </c>
      <c r="N637">
        <v>191.04</v>
      </c>
      <c r="O637">
        <f t="shared" si="54"/>
        <v>191.04</v>
      </c>
      <c r="P637" t="str">
        <f t="shared" si="55"/>
        <v>Dec</v>
      </c>
      <c r="Q637" t="str">
        <f t="shared" si="56"/>
        <v>Q4</v>
      </c>
      <c r="R637" s="5" t="str">
        <f t="shared" si="57"/>
        <v>Medium</v>
      </c>
      <c r="S637" s="5" t="str">
        <f t="shared" si="58"/>
        <v>Pending</v>
      </c>
      <c r="T637" s="5" t="str">
        <f t="shared" si="59"/>
        <v>Yes</v>
      </c>
    </row>
    <row r="638" spans="1:20"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c r="O638">
        <f t="shared" si="54"/>
        <v>1484.28</v>
      </c>
      <c r="P638" t="str">
        <f t="shared" si="55"/>
        <v>Oct</v>
      </c>
      <c r="Q638" t="str">
        <f t="shared" si="56"/>
        <v>Q4</v>
      </c>
      <c r="R638" s="5" t="str">
        <f t="shared" si="57"/>
        <v>Large</v>
      </c>
      <c r="S638" s="5" t="str">
        <f t="shared" si="58"/>
        <v>Pending</v>
      </c>
      <c r="T638" s="5" t="str">
        <f t="shared" si="59"/>
        <v>Yes</v>
      </c>
    </row>
    <row r="639" spans="1:20"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c r="O639">
        <f t="shared" si="54"/>
        <v>1225.4000000000001</v>
      </c>
      <c r="P639" t="str">
        <f t="shared" si="55"/>
        <v>Sep</v>
      </c>
      <c r="Q639" t="str">
        <f t="shared" si="56"/>
        <v>Q3</v>
      </c>
      <c r="R639" s="5" t="str">
        <f t="shared" si="57"/>
        <v>Large</v>
      </c>
      <c r="S639" s="5" t="str">
        <f t="shared" si="58"/>
        <v>Pending</v>
      </c>
      <c r="T639" s="5" t="str">
        <f t="shared" si="59"/>
        <v>Yes</v>
      </c>
    </row>
    <row r="640" spans="1:20"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c r="O640">
        <f t="shared" si="54"/>
        <v>2313.08</v>
      </c>
      <c r="P640" t="str">
        <f t="shared" si="55"/>
        <v>Oct</v>
      </c>
      <c r="Q640" t="str">
        <f t="shared" si="56"/>
        <v>Q4</v>
      </c>
      <c r="R640" s="5" t="str">
        <f t="shared" si="57"/>
        <v>Large</v>
      </c>
      <c r="S640" s="5" t="str">
        <f t="shared" si="58"/>
        <v>Completed</v>
      </c>
      <c r="T640" s="5" t="str">
        <f t="shared" si="59"/>
        <v>Yes</v>
      </c>
    </row>
    <row r="641" spans="1:20" x14ac:dyDescent="0.35">
      <c r="A641" t="s">
        <v>653</v>
      </c>
      <c r="B641" s="2">
        <v>44946</v>
      </c>
      <c r="C641" t="s">
        <v>1852</v>
      </c>
      <c r="D641" t="s">
        <v>2406</v>
      </c>
      <c r="E641">
        <v>1</v>
      </c>
      <c r="F641">
        <v>529.19000000000005</v>
      </c>
      <c r="G641" t="s">
        <v>2772</v>
      </c>
      <c r="H641" t="s">
        <v>3069</v>
      </c>
      <c r="I641" t="s">
        <v>3071</v>
      </c>
      <c r="J641" t="s">
        <v>3714</v>
      </c>
      <c r="K641">
        <v>5</v>
      </c>
      <c r="L641" t="s">
        <v>4329</v>
      </c>
      <c r="M641" t="s">
        <v>4279</v>
      </c>
      <c r="N641">
        <v>529.19000000000005</v>
      </c>
      <c r="O641">
        <f t="shared" si="54"/>
        <v>529.19000000000005</v>
      </c>
      <c r="P641" t="str">
        <f t="shared" si="55"/>
        <v>Jan</v>
      </c>
      <c r="Q641" t="str">
        <f t="shared" si="56"/>
        <v>Q1</v>
      </c>
      <c r="R641" s="5" t="str">
        <f t="shared" si="57"/>
        <v>Large</v>
      </c>
      <c r="S641" s="5" t="str">
        <f t="shared" si="58"/>
        <v>Pending</v>
      </c>
      <c r="T641" s="5" t="str">
        <f t="shared" si="59"/>
        <v>Yes</v>
      </c>
    </row>
    <row r="642" spans="1:20"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c r="O642">
        <f t="shared" ref="O642:O705" si="60">E642*F642</f>
        <v>1174.98</v>
      </c>
      <c r="P642" t="str">
        <f t="shared" ref="P642:P705" si="61">TEXT(B642, "mmm")</f>
        <v>Feb</v>
      </c>
      <c r="Q642" t="str">
        <f t="shared" ref="Q642:Q705" si="62">"Q"&amp;ROUNDUP(MONTH(B642)/3,0)</f>
        <v>Q1</v>
      </c>
      <c r="R642" s="5" t="str">
        <f t="shared" ref="R642:R705" si="63">IF(N642&lt;100,"Small", IF(N642&lt;500, "Medium", "Large"))</f>
        <v>Large</v>
      </c>
      <c r="S642" s="5" t="str">
        <f t="shared" ref="S642:S705" si="64">IF(I642="Delivered","Completed","Pending")</f>
        <v>Pending</v>
      </c>
      <c r="T642" s="5" t="str">
        <f t="shared" ref="T642:T705" si="65">IF(L642="","No", "Yes")</f>
        <v>Yes</v>
      </c>
    </row>
    <row r="643" spans="1:20"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c r="O643">
        <f t="shared" si="60"/>
        <v>2270.2800000000002</v>
      </c>
      <c r="P643" t="str">
        <f t="shared" si="61"/>
        <v>Jun</v>
      </c>
      <c r="Q643" t="str">
        <f t="shared" si="62"/>
        <v>Q2</v>
      </c>
      <c r="R643" s="5" t="str">
        <f t="shared" si="63"/>
        <v>Large</v>
      </c>
      <c r="S643" s="5" t="str">
        <f t="shared" si="64"/>
        <v>Pending</v>
      </c>
      <c r="T643" s="5" t="str">
        <f t="shared" si="65"/>
        <v>Yes</v>
      </c>
    </row>
    <row r="644" spans="1:20"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c r="O644">
        <f t="shared" si="60"/>
        <v>426.1</v>
      </c>
      <c r="P644" t="str">
        <f t="shared" si="61"/>
        <v>Apr</v>
      </c>
      <c r="Q644" t="str">
        <f t="shared" si="62"/>
        <v>Q2</v>
      </c>
      <c r="R644" s="5" t="str">
        <f t="shared" si="63"/>
        <v>Medium</v>
      </c>
      <c r="S644" s="5" t="str">
        <f t="shared" si="64"/>
        <v>Pending</v>
      </c>
      <c r="T644" s="5" t="str">
        <f t="shared" si="65"/>
        <v>Yes</v>
      </c>
    </row>
    <row r="645" spans="1:20"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c r="O645">
        <f t="shared" si="60"/>
        <v>438.37</v>
      </c>
      <c r="P645" t="str">
        <f t="shared" si="61"/>
        <v>Aug</v>
      </c>
      <c r="Q645" t="str">
        <f t="shared" si="62"/>
        <v>Q3</v>
      </c>
      <c r="R645" s="5" t="str">
        <f t="shared" si="63"/>
        <v>Medium</v>
      </c>
      <c r="S645" s="5" t="str">
        <f t="shared" si="64"/>
        <v>Pending</v>
      </c>
      <c r="T645" s="5" t="str">
        <f t="shared" si="65"/>
        <v>Yes</v>
      </c>
    </row>
    <row r="646" spans="1:20"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c r="O646">
        <f t="shared" si="60"/>
        <v>732.46</v>
      </c>
      <c r="P646" t="str">
        <f t="shared" si="61"/>
        <v>Nov</v>
      </c>
      <c r="Q646" t="str">
        <f t="shared" si="62"/>
        <v>Q4</v>
      </c>
      <c r="R646" s="5" t="str">
        <f t="shared" si="63"/>
        <v>Large</v>
      </c>
      <c r="S646" s="5" t="str">
        <f t="shared" si="64"/>
        <v>Pending</v>
      </c>
      <c r="T646" s="5" t="str">
        <f t="shared" si="65"/>
        <v>Yes</v>
      </c>
    </row>
    <row r="647" spans="1:20"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c r="O647">
        <f t="shared" si="60"/>
        <v>300.10000000000002</v>
      </c>
      <c r="P647" t="str">
        <f t="shared" si="61"/>
        <v>Jan</v>
      </c>
      <c r="Q647" t="str">
        <f t="shared" si="62"/>
        <v>Q1</v>
      </c>
      <c r="R647" s="5" t="str">
        <f t="shared" si="63"/>
        <v>Medium</v>
      </c>
      <c r="S647" s="5" t="str">
        <f t="shared" si="64"/>
        <v>Pending</v>
      </c>
      <c r="T647" s="5" t="str">
        <f t="shared" si="65"/>
        <v>Yes</v>
      </c>
    </row>
    <row r="648" spans="1:20"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c r="O648">
        <f t="shared" si="60"/>
        <v>1994.04</v>
      </c>
      <c r="P648" t="str">
        <f t="shared" si="61"/>
        <v>Oct</v>
      </c>
      <c r="Q648" t="str">
        <f t="shared" si="62"/>
        <v>Q4</v>
      </c>
      <c r="R648" s="5" t="str">
        <f t="shared" si="63"/>
        <v>Large</v>
      </c>
      <c r="S648" s="5" t="str">
        <f t="shared" si="64"/>
        <v>Pending</v>
      </c>
      <c r="T648" s="5" t="str">
        <f t="shared" si="65"/>
        <v>Yes</v>
      </c>
    </row>
    <row r="649" spans="1:20"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c r="O649">
        <f t="shared" si="60"/>
        <v>1018.17</v>
      </c>
      <c r="P649" t="str">
        <f t="shared" si="61"/>
        <v>Apr</v>
      </c>
      <c r="Q649" t="str">
        <f t="shared" si="62"/>
        <v>Q2</v>
      </c>
      <c r="R649" s="5" t="str">
        <f t="shared" si="63"/>
        <v>Large</v>
      </c>
      <c r="S649" s="5" t="str">
        <f t="shared" si="64"/>
        <v>Pending</v>
      </c>
      <c r="T649" s="5" t="str">
        <f t="shared" si="65"/>
        <v>Yes</v>
      </c>
    </row>
    <row r="650" spans="1:20"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c r="O650">
        <f t="shared" si="60"/>
        <v>1151.6600000000001</v>
      </c>
      <c r="P650" t="str">
        <f t="shared" si="61"/>
        <v>Jan</v>
      </c>
      <c r="Q650" t="str">
        <f t="shared" si="62"/>
        <v>Q1</v>
      </c>
      <c r="R650" s="5" t="str">
        <f t="shared" si="63"/>
        <v>Large</v>
      </c>
      <c r="S650" s="5" t="str">
        <f t="shared" si="64"/>
        <v>Completed</v>
      </c>
      <c r="T650" s="5" t="str">
        <f t="shared" si="65"/>
        <v>Yes</v>
      </c>
    </row>
    <row r="651" spans="1:20"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c r="O651">
        <f t="shared" si="60"/>
        <v>1285.96</v>
      </c>
      <c r="P651" t="str">
        <f t="shared" si="61"/>
        <v>Dec</v>
      </c>
      <c r="Q651" t="str">
        <f t="shared" si="62"/>
        <v>Q4</v>
      </c>
      <c r="R651" s="5" t="str">
        <f t="shared" si="63"/>
        <v>Large</v>
      </c>
      <c r="S651" s="5" t="str">
        <f t="shared" si="64"/>
        <v>Pending</v>
      </c>
      <c r="T651" s="5" t="str">
        <f t="shared" si="65"/>
        <v>Yes</v>
      </c>
    </row>
    <row r="652" spans="1:20"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c r="O652">
        <f t="shared" si="60"/>
        <v>744.46</v>
      </c>
      <c r="P652" t="str">
        <f t="shared" si="61"/>
        <v>May</v>
      </c>
      <c r="Q652" t="str">
        <f t="shared" si="62"/>
        <v>Q2</v>
      </c>
      <c r="R652" s="5" t="str">
        <f t="shared" si="63"/>
        <v>Large</v>
      </c>
      <c r="S652" s="5" t="str">
        <f t="shared" si="64"/>
        <v>Completed</v>
      </c>
      <c r="T652" s="5" t="str">
        <f t="shared" si="65"/>
        <v>Yes</v>
      </c>
    </row>
    <row r="653" spans="1:20" x14ac:dyDescent="0.35">
      <c r="A653" t="s">
        <v>665</v>
      </c>
      <c r="B653" s="2">
        <v>45608</v>
      </c>
      <c r="C653" t="s">
        <v>1864</v>
      </c>
      <c r="D653" t="s">
        <v>2406</v>
      </c>
      <c r="E653">
        <v>3</v>
      </c>
      <c r="F653">
        <v>646.34</v>
      </c>
      <c r="G653" t="s">
        <v>2584</v>
      </c>
      <c r="H653" t="s">
        <v>3065</v>
      </c>
      <c r="I653" t="s">
        <v>3074</v>
      </c>
      <c r="J653" t="s">
        <v>3726</v>
      </c>
      <c r="K653">
        <v>5</v>
      </c>
      <c r="L653" t="s">
        <v>4329</v>
      </c>
      <c r="M653" t="s">
        <v>4282</v>
      </c>
      <c r="N653">
        <v>1939.02</v>
      </c>
      <c r="O653">
        <f t="shared" si="60"/>
        <v>1939.02</v>
      </c>
      <c r="P653" t="str">
        <f t="shared" si="61"/>
        <v>Nov</v>
      </c>
      <c r="Q653" t="str">
        <f t="shared" si="62"/>
        <v>Q4</v>
      </c>
      <c r="R653" s="5" t="str">
        <f t="shared" si="63"/>
        <v>Large</v>
      </c>
      <c r="S653" s="5" t="str">
        <f t="shared" si="64"/>
        <v>Pending</v>
      </c>
      <c r="T653" s="5" t="str">
        <f t="shared" si="65"/>
        <v>Yes</v>
      </c>
    </row>
    <row r="654" spans="1:20"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c r="O654">
        <f t="shared" si="60"/>
        <v>1709.1999999999998</v>
      </c>
      <c r="P654" t="str">
        <f t="shared" si="61"/>
        <v>Jun</v>
      </c>
      <c r="Q654" t="str">
        <f t="shared" si="62"/>
        <v>Q2</v>
      </c>
      <c r="R654" s="5" t="str">
        <f t="shared" si="63"/>
        <v>Large</v>
      </c>
      <c r="S654" s="5" t="str">
        <f t="shared" si="64"/>
        <v>Pending</v>
      </c>
      <c r="T654" s="5" t="str">
        <f t="shared" si="65"/>
        <v>Yes</v>
      </c>
    </row>
    <row r="655" spans="1:20"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c r="O655">
        <f t="shared" si="60"/>
        <v>2070.8999999999996</v>
      </c>
      <c r="P655" t="str">
        <f t="shared" si="61"/>
        <v>Feb</v>
      </c>
      <c r="Q655" t="str">
        <f t="shared" si="62"/>
        <v>Q1</v>
      </c>
      <c r="R655" s="5" t="str">
        <f t="shared" si="63"/>
        <v>Large</v>
      </c>
      <c r="S655" s="5" t="str">
        <f t="shared" si="64"/>
        <v>Pending</v>
      </c>
      <c r="T655" s="5" t="str">
        <f t="shared" si="65"/>
        <v>Yes</v>
      </c>
    </row>
    <row r="656" spans="1:20" x14ac:dyDescent="0.35">
      <c r="A656" t="s">
        <v>668</v>
      </c>
      <c r="B656" s="2">
        <v>45089</v>
      </c>
      <c r="C656" t="s">
        <v>1867</v>
      </c>
      <c r="D656" t="s">
        <v>2405</v>
      </c>
      <c r="E656">
        <v>3</v>
      </c>
      <c r="F656">
        <v>382.37</v>
      </c>
      <c r="G656" t="s">
        <v>2861</v>
      </c>
      <c r="H656" t="s">
        <v>3065</v>
      </c>
      <c r="I656" t="s">
        <v>3072</v>
      </c>
      <c r="J656" t="s">
        <v>3729</v>
      </c>
      <c r="K656">
        <v>8</v>
      </c>
      <c r="L656" t="s">
        <v>4329</v>
      </c>
      <c r="M656" t="s">
        <v>4278</v>
      </c>
      <c r="N656">
        <v>1147.1099999999999</v>
      </c>
      <c r="O656">
        <f t="shared" si="60"/>
        <v>1147.1100000000001</v>
      </c>
      <c r="P656" t="str">
        <f t="shared" si="61"/>
        <v>Jun</v>
      </c>
      <c r="Q656" t="str">
        <f t="shared" si="62"/>
        <v>Q2</v>
      </c>
      <c r="R656" s="5" t="str">
        <f t="shared" si="63"/>
        <v>Large</v>
      </c>
      <c r="S656" s="5" t="str">
        <f t="shared" si="64"/>
        <v>Pending</v>
      </c>
      <c r="T656" s="5" t="str">
        <f t="shared" si="65"/>
        <v>Yes</v>
      </c>
    </row>
    <row r="657" spans="1:20"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c r="O657">
        <f t="shared" si="60"/>
        <v>265.2</v>
      </c>
      <c r="P657" t="str">
        <f t="shared" si="61"/>
        <v>Mar</v>
      </c>
      <c r="Q657" t="str">
        <f t="shared" si="62"/>
        <v>Q1</v>
      </c>
      <c r="R657" s="5" t="str">
        <f t="shared" si="63"/>
        <v>Medium</v>
      </c>
      <c r="S657" s="5" t="str">
        <f t="shared" si="64"/>
        <v>Pending</v>
      </c>
      <c r="T657" s="5" t="str">
        <f t="shared" si="65"/>
        <v>Yes</v>
      </c>
    </row>
    <row r="658" spans="1:20"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c r="O658">
        <f t="shared" si="60"/>
        <v>378.12</v>
      </c>
      <c r="P658" t="str">
        <f t="shared" si="61"/>
        <v>Jan</v>
      </c>
      <c r="Q658" t="str">
        <f t="shared" si="62"/>
        <v>Q1</v>
      </c>
      <c r="R658" s="5" t="str">
        <f t="shared" si="63"/>
        <v>Medium</v>
      </c>
      <c r="S658" s="5" t="str">
        <f t="shared" si="64"/>
        <v>Pending</v>
      </c>
      <c r="T658" s="5" t="str">
        <f t="shared" si="65"/>
        <v>Yes</v>
      </c>
    </row>
    <row r="659" spans="1:20"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c r="O659">
        <f t="shared" si="60"/>
        <v>351.16</v>
      </c>
      <c r="P659" t="str">
        <f t="shared" si="61"/>
        <v>Dec</v>
      </c>
      <c r="Q659" t="str">
        <f t="shared" si="62"/>
        <v>Q4</v>
      </c>
      <c r="R659" s="5" t="str">
        <f t="shared" si="63"/>
        <v>Medium</v>
      </c>
      <c r="S659" s="5" t="str">
        <f t="shared" si="64"/>
        <v>Pending</v>
      </c>
      <c r="T659" s="5" t="str">
        <f t="shared" si="65"/>
        <v>Yes</v>
      </c>
    </row>
    <row r="660" spans="1:20"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c r="O660">
        <f t="shared" si="60"/>
        <v>92.72</v>
      </c>
      <c r="P660" t="str">
        <f t="shared" si="61"/>
        <v>Apr</v>
      </c>
      <c r="Q660" t="str">
        <f t="shared" si="62"/>
        <v>Q2</v>
      </c>
      <c r="R660" s="5" t="str">
        <f t="shared" si="63"/>
        <v>Small</v>
      </c>
      <c r="S660" s="5" t="str">
        <f t="shared" si="64"/>
        <v>Pending</v>
      </c>
      <c r="T660" s="5" t="str">
        <f t="shared" si="65"/>
        <v>Yes</v>
      </c>
    </row>
    <row r="661" spans="1:20"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c r="O661">
        <f t="shared" si="60"/>
        <v>1284.08</v>
      </c>
      <c r="P661" t="str">
        <f t="shared" si="61"/>
        <v>Oct</v>
      </c>
      <c r="Q661" t="str">
        <f t="shared" si="62"/>
        <v>Q4</v>
      </c>
      <c r="R661" s="5" t="str">
        <f t="shared" si="63"/>
        <v>Large</v>
      </c>
      <c r="S661" s="5" t="str">
        <f t="shared" si="64"/>
        <v>Completed</v>
      </c>
      <c r="T661" s="5" t="str">
        <f t="shared" si="65"/>
        <v>Yes</v>
      </c>
    </row>
    <row r="662" spans="1:20"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c r="O662">
        <f t="shared" si="60"/>
        <v>1303.1400000000001</v>
      </c>
      <c r="P662" t="str">
        <f t="shared" si="61"/>
        <v>Oct</v>
      </c>
      <c r="Q662" t="str">
        <f t="shared" si="62"/>
        <v>Q4</v>
      </c>
      <c r="R662" s="5" t="str">
        <f t="shared" si="63"/>
        <v>Large</v>
      </c>
      <c r="S662" s="5" t="str">
        <f t="shared" si="64"/>
        <v>Pending</v>
      </c>
      <c r="T662" s="5" t="str">
        <f t="shared" si="65"/>
        <v>Yes</v>
      </c>
    </row>
    <row r="663" spans="1:20"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c r="O663">
        <f t="shared" si="60"/>
        <v>1274.67</v>
      </c>
      <c r="P663" t="str">
        <f t="shared" si="61"/>
        <v>Feb</v>
      </c>
      <c r="Q663" t="str">
        <f t="shared" si="62"/>
        <v>Q1</v>
      </c>
      <c r="R663" s="5" t="str">
        <f t="shared" si="63"/>
        <v>Large</v>
      </c>
      <c r="S663" s="5" t="str">
        <f t="shared" si="64"/>
        <v>Pending</v>
      </c>
      <c r="T663" s="5" t="str">
        <f t="shared" si="65"/>
        <v>Yes</v>
      </c>
    </row>
    <row r="664" spans="1:20" x14ac:dyDescent="0.35">
      <c r="A664" t="s">
        <v>676</v>
      </c>
      <c r="B664" s="2">
        <v>44954</v>
      </c>
      <c r="C664" t="s">
        <v>1875</v>
      </c>
      <c r="D664" t="s">
        <v>2408</v>
      </c>
      <c r="E664">
        <v>3</v>
      </c>
      <c r="F664">
        <v>438.89</v>
      </c>
      <c r="G664" t="s">
        <v>2864</v>
      </c>
      <c r="H664" t="s">
        <v>3069</v>
      </c>
      <c r="I664" t="s">
        <v>3072</v>
      </c>
      <c r="J664" t="s">
        <v>3737</v>
      </c>
      <c r="K664">
        <v>3</v>
      </c>
      <c r="L664" t="s">
        <v>4329</v>
      </c>
      <c r="M664" t="s">
        <v>4281</v>
      </c>
      <c r="N664">
        <v>1316.67</v>
      </c>
      <c r="O664">
        <f t="shared" si="60"/>
        <v>1316.67</v>
      </c>
      <c r="P664" t="str">
        <f t="shared" si="61"/>
        <v>Jan</v>
      </c>
      <c r="Q664" t="str">
        <f t="shared" si="62"/>
        <v>Q1</v>
      </c>
      <c r="R664" s="5" t="str">
        <f t="shared" si="63"/>
        <v>Large</v>
      </c>
      <c r="S664" s="5" t="str">
        <f t="shared" si="64"/>
        <v>Pending</v>
      </c>
      <c r="T664" s="5" t="str">
        <f t="shared" si="65"/>
        <v>Yes</v>
      </c>
    </row>
    <row r="665" spans="1:20"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c r="O665">
        <f t="shared" si="60"/>
        <v>72.599999999999994</v>
      </c>
      <c r="P665" t="str">
        <f t="shared" si="61"/>
        <v>Apr</v>
      </c>
      <c r="Q665" t="str">
        <f t="shared" si="62"/>
        <v>Q2</v>
      </c>
      <c r="R665" s="5" t="str">
        <f t="shared" si="63"/>
        <v>Small</v>
      </c>
      <c r="S665" s="5" t="str">
        <f t="shared" si="64"/>
        <v>Pending</v>
      </c>
      <c r="T665" s="5" t="str">
        <f t="shared" si="65"/>
        <v>Yes</v>
      </c>
    </row>
    <row r="666" spans="1:20" x14ac:dyDescent="0.35">
      <c r="A666" t="s">
        <v>678</v>
      </c>
      <c r="B666" s="2">
        <v>45645</v>
      </c>
      <c r="C666" t="s">
        <v>1450</v>
      </c>
      <c r="D666" t="s">
        <v>2408</v>
      </c>
      <c r="E666">
        <v>4</v>
      </c>
      <c r="F666">
        <v>194.75</v>
      </c>
      <c r="G666" t="s">
        <v>2865</v>
      </c>
      <c r="H666" t="s">
        <v>3069</v>
      </c>
      <c r="I666" t="s">
        <v>3070</v>
      </c>
      <c r="J666" t="s">
        <v>3739</v>
      </c>
      <c r="K666">
        <v>5</v>
      </c>
      <c r="L666" t="s">
        <v>4329</v>
      </c>
      <c r="M666" t="s">
        <v>4281</v>
      </c>
      <c r="N666">
        <v>779</v>
      </c>
      <c r="O666">
        <f t="shared" si="60"/>
        <v>779</v>
      </c>
      <c r="P666" t="str">
        <f t="shared" si="61"/>
        <v>Dec</v>
      </c>
      <c r="Q666" t="str">
        <f t="shared" si="62"/>
        <v>Q4</v>
      </c>
      <c r="R666" s="5" t="str">
        <f t="shared" si="63"/>
        <v>Large</v>
      </c>
      <c r="S666" s="5" t="str">
        <f t="shared" si="64"/>
        <v>Pending</v>
      </c>
      <c r="T666" s="5" t="str">
        <f t="shared" si="65"/>
        <v>Yes</v>
      </c>
    </row>
    <row r="667" spans="1:20"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c r="O667">
        <f t="shared" si="60"/>
        <v>925.04</v>
      </c>
      <c r="P667" t="str">
        <f t="shared" si="61"/>
        <v>May</v>
      </c>
      <c r="Q667" t="str">
        <f t="shared" si="62"/>
        <v>Q2</v>
      </c>
      <c r="R667" s="5" t="str">
        <f t="shared" si="63"/>
        <v>Large</v>
      </c>
      <c r="S667" s="5" t="str">
        <f t="shared" si="64"/>
        <v>Pending</v>
      </c>
      <c r="T667" s="5" t="str">
        <f t="shared" si="65"/>
        <v>Yes</v>
      </c>
    </row>
    <row r="668" spans="1:20" x14ac:dyDescent="0.35">
      <c r="A668" t="s">
        <v>680</v>
      </c>
      <c r="B668" s="2">
        <v>45535</v>
      </c>
      <c r="C668" t="s">
        <v>1878</v>
      </c>
      <c r="D668" t="s">
        <v>2403</v>
      </c>
      <c r="E668">
        <v>4</v>
      </c>
      <c r="F668">
        <v>327.12</v>
      </c>
      <c r="G668" t="s">
        <v>2840</v>
      </c>
      <c r="H668" t="s">
        <v>3067</v>
      </c>
      <c r="I668" t="s">
        <v>3071</v>
      </c>
      <c r="J668" t="s">
        <v>3741</v>
      </c>
      <c r="K668">
        <v>4</v>
      </c>
      <c r="L668" t="s">
        <v>4329</v>
      </c>
      <c r="M668" t="s">
        <v>4280</v>
      </c>
      <c r="N668">
        <v>1308.48</v>
      </c>
      <c r="O668">
        <f t="shared" si="60"/>
        <v>1308.48</v>
      </c>
      <c r="P668" t="str">
        <f t="shared" si="61"/>
        <v>Aug</v>
      </c>
      <c r="Q668" t="str">
        <f t="shared" si="62"/>
        <v>Q3</v>
      </c>
      <c r="R668" s="5" t="str">
        <f t="shared" si="63"/>
        <v>Large</v>
      </c>
      <c r="S668" s="5" t="str">
        <f t="shared" si="64"/>
        <v>Pending</v>
      </c>
      <c r="T668" s="5" t="str">
        <f t="shared" si="65"/>
        <v>Yes</v>
      </c>
    </row>
    <row r="669" spans="1:20"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c r="O669">
        <f t="shared" si="60"/>
        <v>466.42</v>
      </c>
      <c r="P669" t="str">
        <f t="shared" si="61"/>
        <v>May</v>
      </c>
      <c r="Q669" t="str">
        <f t="shared" si="62"/>
        <v>Q2</v>
      </c>
      <c r="R669" s="5" t="str">
        <f t="shared" si="63"/>
        <v>Medium</v>
      </c>
      <c r="S669" s="5" t="str">
        <f t="shared" si="64"/>
        <v>Pending</v>
      </c>
      <c r="T669" s="5" t="str">
        <f t="shared" si="65"/>
        <v>Yes</v>
      </c>
    </row>
    <row r="670" spans="1:20"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c r="O670">
        <f t="shared" si="60"/>
        <v>507.34</v>
      </c>
      <c r="P670" t="str">
        <f t="shared" si="61"/>
        <v>Jul</v>
      </c>
      <c r="Q670" t="str">
        <f t="shared" si="62"/>
        <v>Q3</v>
      </c>
      <c r="R670" s="5" t="str">
        <f t="shared" si="63"/>
        <v>Large</v>
      </c>
      <c r="S670" s="5" t="str">
        <f t="shared" si="64"/>
        <v>Pending</v>
      </c>
      <c r="T670" s="5" t="str">
        <f t="shared" si="65"/>
        <v>Yes</v>
      </c>
    </row>
    <row r="671" spans="1:20" x14ac:dyDescent="0.35">
      <c r="A671" t="s">
        <v>683</v>
      </c>
      <c r="B671" s="2">
        <v>44962</v>
      </c>
      <c r="C671" t="s">
        <v>1881</v>
      </c>
      <c r="D671" t="s">
        <v>2409</v>
      </c>
      <c r="E671">
        <v>1</v>
      </c>
      <c r="F671">
        <v>257</v>
      </c>
      <c r="G671" t="s">
        <v>2867</v>
      </c>
      <c r="H671" t="s">
        <v>3065</v>
      </c>
      <c r="I671" t="s">
        <v>3071</v>
      </c>
      <c r="J671" t="s">
        <v>3744</v>
      </c>
      <c r="K671">
        <v>5</v>
      </c>
      <c r="L671" t="s">
        <v>4329</v>
      </c>
      <c r="M671" t="s">
        <v>4279</v>
      </c>
      <c r="N671">
        <v>257</v>
      </c>
      <c r="O671">
        <f t="shared" si="60"/>
        <v>257</v>
      </c>
      <c r="P671" t="str">
        <f t="shared" si="61"/>
        <v>Feb</v>
      </c>
      <c r="Q671" t="str">
        <f t="shared" si="62"/>
        <v>Q1</v>
      </c>
      <c r="R671" s="5" t="str">
        <f t="shared" si="63"/>
        <v>Medium</v>
      </c>
      <c r="S671" s="5" t="str">
        <f t="shared" si="64"/>
        <v>Pending</v>
      </c>
      <c r="T671" s="5" t="str">
        <f t="shared" si="65"/>
        <v>Yes</v>
      </c>
    </row>
    <row r="672" spans="1:20"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c r="O672">
        <f t="shared" si="60"/>
        <v>2156.8000000000002</v>
      </c>
      <c r="P672" t="str">
        <f t="shared" si="61"/>
        <v>Apr</v>
      </c>
      <c r="Q672" t="str">
        <f t="shared" si="62"/>
        <v>Q2</v>
      </c>
      <c r="R672" s="5" t="str">
        <f t="shared" si="63"/>
        <v>Large</v>
      </c>
      <c r="S672" s="5" t="str">
        <f t="shared" si="64"/>
        <v>Pending</v>
      </c>
      <c r="T672" s="5" t="str">
        <f t="shared" si="65"/>
        <v>Yes</v>
      </c>
    </row>
    <row r="673" spans="1:20"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c r="O673">
        <f t="shared" si="60"/>
        <v>253.70000000000002</v>
      </c>
      <c r="P673" t="str">
        <f t="shared" si="61"/>
        <v>Jun</v>
      </c>
      <c r="Q673" t="str">
        <f t="shared" si="62"/>
        <v>Q2</v>
      </c>
      <c r="R673" s="5" t="str">
        <f t="shared" si="63"/>
        <v>Medium</v>
      </c>
      <c r="S673" s="5" t="str">
        <f t="shared" si="64"/>
        <v>Pending</v>
      </c>
      <c r="T673" s="5" t="str">
        <f t="shared" si="65"/>
        <v>Yes</v>
      </c>
    </row>
    <row r="674" spans="1:20"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c r="O674">
        <f t="shared" si="60"/>
        <v>1248.32</v>
      </c>
      <c r="P674" t="str">
        <f t="shared" si="61"/>
        <v>May</v>
      </c>
      <c r="Q674" t="str">
        <f t="shared" si="62"/>
        <v>Q2</v>
      </c>
      <c r="R674" s="5" t="str">
        <f t="shared" si="63"/>
        <v>Large</v>
      </c>
      <c r="S674" s="5" t="str">
        <f t="shared" si="64"/>
        <v>Pending</v>
      </c>
      <c r="T674" s="5" t="str">
        <f t="shared" si="65"/>
        <v>Yes</v>
      </c>
    </row>
    <row r="675" spans="1:20"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c r="O675">
        <f t="shared" si="60"/>
        <v>745.84</v>
      </c>
      <c r="P675" t="str">
        <f t="shared" si="61"/>
        <v>Feb</v>
      </c>
      <c r="Q675" t="str">
        <f t="shared" si="62"/>
        <v>Q1</v>
      </c>
      <c r="R675" s="5" t="str">
        <f t="shared" si="63"/>
        <v>Large</v>
      </c>
      <c r="S675" s="5" t="str">
        <f t="shared" si="64"/>
        <v>Completed</v>
      </c>
      <c r="T675" s="5" t="str">
        <f t="shared" si="65"/>
        <v>Yes</v>
      </c>
    </row>
    <row r="676" spans="1:20"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c r="O676">
        <f t="shared" si="60"/>
        <v>1435</v>
      </c>
      <c r="P676" t="str">
        <f t="shared" si="61"/>
        <v>Jan</v>
      </c>
      <c r="Q676" t="str">
        <f t="shared" si="62"/>
        <v>Q1</v>
      </c>
      <c r="R676" s="5" t="str">
        <f t="shared" si="63"/>
        <v>Large</v>
      </c>
      <c r="S676" s="5" t="str">
        <f t="shared" si="64"/>
        <v>Completed</v>
      </c>
      <c r="T676" s="5" t="str">
        <f t="shared" si="65"/>
        <v>Yes</v>
      </c>
    </row>
    <row r="677" spans="1:20" x14ac:dyDescent="0.35">
      <c r="A677" t="s">
        <v>689</v>
      </c>
      <c r="B677" s="2">
        <v>45510</v>
      </c>
      <c r="C677" t="s">
        <v>1887</v>
      </c>
      <c r="D677" t="s">
        <v>2409</v>
      </c>
      <c r="E677">
        <v>3</v>
      </c>
      <c r="F677">
        <v>342.02</v>
      </c>
      <c r="G677" t="s">
        <v>2807</v>
      </c>
      <c r="H677" t="s">
        <v>3065</v>
      </c>
      <c r="I677" t="s">
        <v>3074</v>
      </c>
      <c r="J677" t="s">
        <v>3750</v>
      </c>
      <c r="K677">
        <v>5</v>
      </c>
      <c r="L677" t="s">
        <v>4329</v>
      </c>
      <c r="M677" t="s">
        <v>4280</v>
      </c>
      <c r="N677">
        <v>1026.06</v>
      </c>
      <c r="O677">
        <f t="shared" si="60"/>
        <v>1026.06</v>
      </c>
      <c r="P677" t="str">
        <f t="shared" si="61"/>
        <v>Aug</v>
      </c>
      <c r="Q677" t="str">
        <f t="shared" si="62"/>
        <v>Q3</v>
      </c>
      <c r="R677" s="5" t="str">
        <f t="shared" si="63"/>
        <v>Large</v>
      </c>
      <c r="S677" s="5" t="str">
        <f t="shared" si="64"/>
        <v>Pending</v>
      </c>
      <c r="T677" s="5" t="str">
        <f t="shared" si="65"/>
        <v>Yes</v>
      </c>
    </row>
    <row r="678" spans="1:20"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c r="O678">
        <f t="shared" si="60"/>
        <v>844.68</v>
      </c>
      <c r="P678" t="str">
        <f t="shared" si="61"/>
        <v>Jun</v>
      </c>
      <c r="Q678" t="str">
        <f t="shared" si="62"/>
        <v>Q2</v>
      </c>
      <c r="R678" s="5" t="str">
        <f t="shared" si="63"/>
        <v>Large</v>
      </c>
      <c r="S678" s="5" t="str">
        <f t="shared" si="64"/>
        <v>Pending</v>
      </c>
      <c r="T678" s="5" t="str">
        <f t="shared" si="65"/>
        <v>Yes</v>
      </c>
    </row>
    <row r="679" spans="1:20"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c r="O679">
        <f t="shared" si="60"/>
        <v>110.35</v>
      </c>
      <c r="P679" t="str">
        <f t="shared" si="61"/>
        <v>Apr</v>
      </c>
      <c r="Q679" t="str">
        <f t="shared" si="62"/>
        <v>Q2</v>
      </c>
      <c r="R679" s="5" t="str">
        <f t="shared" si="63"/>
        <v>Medium</v>
      </c>
      <c r="S679" s="5" t="str">
        <f t="shared" si="64"/>
        <v>Pending</v>
      </c>
      <c r="T679" s="5" t="str">
        <f t="shared" si="65"/>
        <v>Yes</v>
      </c>
    </row>
    <row r="680" spans="1:20"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c r="O680">
        <f t="shared" si="60"/>
        <v>489.39</v>
      </c>
      <c r="P680" t="str">
        <f t="shared" si="61"/>
        <v>Nov</v>
      </c>
      <c r="Q680" t="str">
        <f t="shared" si="62"/>
        <v>Q4</v>
      </c>
      <c r="R680" s="5" t="str">
        <f t="shared" si="63"/>
        <v>Medium</v>
      </c>
      <c r="S680" s="5" t="str">
        <f t="shared" si="64"/>
        <v>Pending</v>
      </c>
      <c r="T680" s="5" t="str">
        <f t="shared" si="65"/>
        <v>Yes</v>
      </c>
    </row>
    <row r="681" spans="1:20"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c r="O681">
        <f t="shared" si="60"/>
        <v>1081.98</v>
      </c>
      <c r="P681" t="str">
        <f t="shared" si="61"/>
        <v>Feb</v>
      </c>
      <c r="Q681" t="str">
        <f t="shared" si="62"/>
        <v>Q1</v>
      </c>
      <c r="R681" s="5" t="str">
        <f t="shared" si="63"/>
        <v>Large</v>
      </c>
      <c r="S681" s="5" t="str">
        <f t="shared" si="64"/>
        <v>Pending</v>
      </c>
      <c r="T681" s="5" t="str">
        <f t="shared" si="65"/>
        <v>Yes</v>
      </c>
    </row>
    <row r="682" spans="1:20" x14ac:dyDescent="0.35">
      <c r="A682" t="s">
        <v>694</v>
      </c>
      <c r="B682" s="2">
        <v>45165</v>
      </c>
      <c r="C682" t="s">
        <v>1892</v>
      </c>
      <c r="D682" t="s">
        <v>2403</v>
      </c>
      <c r="E682">
        <v>3</v>
      </c>
      <c r="F682">
        <v>463.39</v>
      </c>
      <c r="G682" t="s">
        <v>2869</v>
      </c>
      <c r="H682" t="s">
        <v>3067</v>
      </c>
      <c r="I682" t="s">
        <v>3072</v>
      </c>
      <c r="J682" t="s">
        <v>3755</v>
      </c>
      <c r="K682">
        <v>3</v>
      </c>
      <c r="L682" t="s">
        <v>4329</v>
      </c>
      <c r="M682" t="s">
        <v>4281</v>
      </c>
      <c r="N682">
        <v>1390.17</v>
      </c>
      <c r="O682">
        <f t="shared" si="60"/>
        <v>1390.17</v>
      </c>
      <c r="P682" t="str">
        <f t="shared" si="61"/>
        <v>Aug</v>
      </c>
      <c r="Q682" t="str">
        <f t="shared" si="62"/>
        <v>Q3</v>
      </c>
      <c r="R682" s="5" t="str">
        <f t="shared" si="63"/>
        <v>Large</v>
      </c>
      <c r="S682" s="5" t="str">
        <f t="shared" si="64"/>
        <v>Pending</v>
      </c>
      <c r="T682" s="5" t="str">
        <f t="shared" si="65"/>
        <v>Yes</v>
      </c>
    </row>
    <row r="683" spans="1:20" x14ac:dyDescent="0.35">
      <c r="A683" t="s">
        <v>695</v>
      </c>
      <c r="B683" s="2">
        <v>45321</v>
      </c>
      <c r="C683" t="s">
        <v>1893</v>
      </c>
      <c r="D683" t="s">
        <v>2405</v>
      </c>
      <c r="E683">
        <v>1</v>
      </c>
      <c r="F683">
        <v>155.27000000000001</v>
      </c>
      <c r="G683" t="s">
        <v>2870</v>
      </c>
      <c r="H683" t="s">
        <v>3065</v>
      </c>
      <c r="I683" t="s">
        <v>3070</v>
      </c>
      <c r="J683" t="s">
        <v>3756</v>
      </c>
      <c r="K683">
        <v>6</v>
      </c>
      <c r="L683" t="s">
        <v>4329</v>
      </c>
      <c r="M683" t="s">
        <v>4280</v>
      </c>
      <c r="N683">
        <v>155.27000000000001</v>
      </c>
      <c r="O683">
        <f t="shared" si="60"/>
        <v>155.27000000000001</v>
      </c>
      <c r="P683" t="str">
        <f t="shared" si="61"/>
        <v>Jan</v>
      </c>
      <c r="Q683" t="str">
        <f t="shared" si="62"/>
        <v>Q1</v>
      </c>
      <c r="R683" s="5" t="str">
        <f t="shared" si="63"/>
        <v>Medium</v>
      </c>
      <c r="S683" s="5" t="str">
        <f t="shared" si="64"/>
        <v>Pending</v>
      </c>
      <c r="T683" s="5" t="str">
        <f t="shared" si="65"/>
        <v>Yes</v>
      </c>
    </row>
    <row r="684" spans="1:20"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c r="O684">
        <f t="shared" si="60"/>
        <v>1528.26</v>
      </c>
      <c r="P684" t="str">
        <f t="shared" si="61"/>
        <v>Jul</v>
      </c>
      <c r="Q684" t="str">
        <f t="shared" si="62"/>
        <v>Q3</v>
      </c>
      <c r="R684" s="5" t="str">
        <f t="shared" si="63"/>
        <v>Large</v>
      </c>
      <c r="S684" s="5" t="str">
        <f t="shared" si="64"/>
        <v>Pending</v>
      </c>
      <c r="T684" s="5" t="str">
        <f t="shared" si="65"/>
        <v>Yes</v>
      </c>
    </row>
    <row r="685" spans="1:20"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c r="O685">
        <f t="shared" si="60"/>
        <v>2609.92</v>
      </c>
      <c r="P685" t="str">
        <f t="shared" si="61"/>
        <v>May</v>
      </c>
      <c r="Q685" t="str">
        <f t="shared" si="62"/>
        <v>Q2</v>
      </c>
      <c r="R685" s="5" t="str">
        <f t="shared" si="63"/>
        <v>Large</v>
      </c>
      <c r="S685" s="5" t="str">
        <f t="shared" si="64"/>
        <v>Pending</v>
      </c>
      <c r="T685" s="5" t="str">
        <f t="shared" si="65"/>
        <v>Yes</v>
      </c>
    </row>
    <row r="686" spans="1:20" x14ac:dyDescent="0.35">
      <c r="A686" t="s">
        <v>698</v>
      </c>
      <c r="B686" s="2">
        <v>45557</v>
      </c>
      <c r="C686" t="s">
        <v>1896</v>
      </c>
      <c r="D686" t="s">
        <v>2407</v>
      </c>
      <c r="E686">
        <v>4</v>
      </c>
      <c r="F686">
        <v>34.840000000000003</v>
      </c>
      <c r="G686" t="s">
        <v>2872</v>
      </c>
      <c r="H686" t="s">
        <v>3067</v>
      </c>
      <c r="I686" t="s">
        <v>3070</v>
      </c>
      <c r="J686" t="s">
        <v>3759</v>
      </c>
      <c r="K686">
        <v>8</v>
      </c>
      <c r="L686" t="s">
        <v>4329</v>
      </c>
      <c r="M686" t="s">
        <v>4280</v>
      </c>
      <c r="N686">
        <v>139.36000000000001</v>
      </c>
      <c r="O686">
        <f t="shared" si="60"/>
        <v>139.36000000000001</v>
      </c>
      <c r="P686" t="str">
        <f t="shared" si="61"/>
        <v>Sep</v>
      </c>
      <c r="Q686" t="str">
        <f t="shared" si="62"/>
        <v>Q3</v>
      </c>
      <c r="R686" s="5" t="str">
        <f t="shared" si="63"/>
        <v>Medium</v>
      </c>
      <c r="S686" s="5" t="str">
        <f t="shared" si="64"/>
        <v>Pending</v>
      </c>
      <c r="T686" s="5" t="str">
        <f t="shared" si="65"/>
        <v>Yes</v>
      </c>
    </row>
    <row r="687" spans="1:20"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c r="O687">
        <f t="shared" si="60"/>
        <v>234.37</v>
      </c>
      <c r="P687" t="str">
        <f t="shared" si="61"/>
        <v>Feb</v>
      </c>
      <c r="Q687" t="str">
        <f t="shared" si="62"/>
        <v>Q1</v>
      </c>
      <c r="R687" s="5" t="str">
        <f t="shared" si="63"/>
        <v>Medium</v>
      </c>
      <c r="S687" s="5" t="str">
        <f t="shared" si="64"/>
        <v>Pending</v>
      </c>
      <c r="T687" s="5" t="str">
        <f t="shared" si="65"/>
        <v>Yes</v>
      </c>
    </row>
    <row r="688" spans="1:20"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c r="O688">
        <f t="shared" si="60"/>
        <v>160.80000000000001</v>
      </c>
      <c r="P688" t="str">
        <f t="shared" si="61"/>
        <v>Oct</v>
      </c>
      <c r="Q688" t="str">
        <f t="shared" si="62"/>
        <v>Q4</v>
      </c>
      <c r="R688" s="5" t="str">
        <f t="shared" si="63"/>
        <v>Medium</v>
      </c>
      <c r="S688" s="5" t="str">
        <f t="shared" si="64"/>
        <v>Pending</v>
      </c>
      <c r="T688" s="5" t="str">
        <f t="shared" si="65"/>
        <v>Yes</v>
      </c>
    </row>
    <row r="689" spans="1:20"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c r="O689">
        <f t="shared" si="60"/>
        <v>332.09</v>
      </c>
      <c r="P689" t="str">
        <f t="shared" si="61"/>
        <v>Sep</v>
      </c>
      <c r="Q689" t="str">
        <f t="shared" si="62"/>
        <v>Q3</v>
      </c>
      <c r="R689" s="5" t="str">
        <f t="shared" si="63"/>
        <v>Medium</v>
      </c>
      <c r="S689" s="5" t="str">
        <f t="shared" si="64"/>
        <v>Pending</v>
      </c>
      <c r="T689" s="5" t="str">
        <f t="shared" si="65"/>
        <v>Yes</v>
      </c>
    </row>
    <row r="690" spans="1:20"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c r="O690">
        <f t="shared" si="60"/>
        <v>2372.88</v>
      </c>
      <c r="P690" t="str">
        <f t="shared" si="61"/>
        <v>Mar</v>
      </c>
      <c r="Q690" t="str">
        <f t="shared" si="62"/>
        <v>Q1</v>
      </c>
      <c r="R690" s="5" t="str">
        <f t="shared" si="63"/>
        <v>Large</v>
      </c>
      <c r="S690" s="5" t="str">
        <f t="shared" si="64"/>
        <v>Pending</v>
      </c>
      <c r="T690" s="5" t="str">
        <f t="shared" si="65"/>
        <v>Yes</v>
      </c>
    </row>
    <row r="691" spans="1:20" x14ac:dyDescent="0.35">
      <c r="A691" t="s">
        <v>703</v>
      </c>
      <c r="B691" s="2">
        <v>45167</v>
      </c>
      <c r="C691" t="s">
        <v>1901</v>
      </c>
      <c r="D691" t="s">
        <v>2405</v>
      </c>
      <c r="E691">
        <v>2</v>
      </c>
      <c r="F691">
        <v>444.84</v>
      </c>
      <c r="G691" t="s">
        <v>2876</v>
      </c>
      <c r="H691" t="s">
        <v>3066</v>
      </c>
      <c r="I691" t="s">
        <v>3070</v>
      </c>
      <c r="J691" t="s">
        <v>3764</v>
      </c>
      <c r="K691">
        <v>7</v>
      </c>
      <c r="L691" t="s">
        <v>4329</v>
      </c>
      <c r="M691" t="s">
        <v>4281</v>
      </c>
      <c r="N691">
        <v>889.68</v>
      </c>
      <c r="O691">
        <f t="shared" si="60"/>
        <v>889.68</v>
      </c>
      <c r="P691" t="str">
        <f t="shared" si="61"/>
        <v>Aug</v>
      </c>
      <c r="Q691" t="str">
        <f t="shared" si="62"/>
        <v>Q3</v>
      </c>
      <c r="R691" s="5" t="str">
        <f t="shared" si="63"/>
        <v>Large</v>
      </c>
      <c r="S691" s="5" t="str">
        <f t="shared" si="64"/>
        <v>Pending</v>
      </c>
      <c r="T691" s="5" t="str">
        <f t="shared" si="65"/>
        <v>Yes</v>
      </c>
    </row>
    <row r="692" spans="1:20" x14ac:dyDescent="0.35">
      <c r="A692" t="s">
        <v>704</v>
      </c>
      <c r="B692" s="2">
        <v>45485</v>
      </c>
      <c r="C692" t="s">
        <v>1902</v>
      </c>
      <c r="D692" t="s">
        <v>2403</v>
      </c>
      <c r="E692">
        <v>1</v>
      </c>
      <c r="F692">
        <v>24.48</v>
      </c>
      <c r="G692" t="s">
        <v>2445</v>
      </c>
      <c r="H692" t="s">
        <v>3068</v>
      </c>
      <c r="I692" t="s">
        <v>3072</v>
      </c>
      <c r="J692" t="s">
        <v>3765</v>
      </c>
      <c r="K692">
        <v>1</v>
      </c>
      <c r="L692" t="s">
        <v>4329</v>
      </c>
      <c r="M692" t="s">
        <v>4278</v>
      </c>
      <c r="N692">
        <v>24.48</v>
      </c>
      <c r="O692">
        <f t="shared" si="60"/>
        <v>24.48</v>
      </c>
      <c r="P692" t="str">
        <f t="shared" si="61"/>
        <v>Jul</v>
      </c>
      <c r="Q692" t="str">
        <f t="shared" si="62"/>
        <v>Q3</v>
      </c>
      <c r="R692" s="5" t="str">
        <f t="shared" si="63"/>
        <v>Small</v>
      </c>
      <c r="S692" s="5" t="str">
        <f t="shared" si="64"/>
        <v>Pending</v>
      </c>
      <c r="T692" s="5" t="str">
        <f t="shared" si="65"/>
        <v>Yes</v>
      </c>
    </row>
    <row r="693" spans="1:20" x14ac:dyDescent="0.35">
      <c r="A693" t="s">
        <v>705</v>
      </c>
      <c r="B693" s="2">
        <v>45620</v>
      </c>
      <c r="C693" t="s">
        <v>1903</v>
      </c>
      <c r="D693" t="s">
        <v>2408</v>
      </c>
      <c r="E693">
        <v>3</v>
      </c>
      <c r="F693">
        <v>239.08</v>
      </c>
      <c r="G693" t="s">
        <v>2877</v>
      </c>
      <c r="H693" t="s">
        <v>3069</v>
      </c>
      <c r="I693" t="s">
        <v>3070</v>
      </c>
      <c r="J693" t="s">
        <v>3766</v>
      </c>
      <c r="K693">
        <v>8</v>
      </c>
      <c r="L693" t="s">
        <v>4329</v>
      </c>
      <c r="M693" t="s">
        <v>4282</v>
      </c>
      <c r="N693">
        <v>717.24</v>
      </c>
      <c r="O693">
        <f t="shared" si="60"/>
        <v>717.24</v>
      </c>
      <c r="P693" t="str">
        <f t="shared" si="61"/>
        <v>Nov</v>
      </c>
      <c r="Q693" t="str">
        <f t="shared" si="62"/>
        <v>Q4</v>
      </c>
      <c r="R693" s="5" t="str">
        <f t="shared" si="63"/>
        <v>Large</v>
      </c>
      <c r="S693" s="5" t="str">
        <f t="shared" si="64"/>
        <v>Pending</v>
      </c>
      <c r="T693" s="5" t="str">
        <f t="shared" si="65"/>
        <v>Yes</v>
      </c>
    </row>
    <row r="694" spans="1:20"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c r="O694">
        <f t="shared" si="60"/>
        <v>984.2</v>
      </c>
      <c r="P694" t="str">
        <f t="shared" si="61"/>
        <v>Jan</v>
      </c>
      <c r="Q694" t="str">
        <f t="shared" si="62"/>
        <v>Q1</v>
      </c>
      <c r="R694" s="5" t="str">
        <f t="shared" si="63"/>
        <v>Large</v>
      </c>
      <c r="S694" s="5" t="str">
        <f t="shared" si="64"/>
        <v>Completed</v>
      </c>
      <c r="T694" s="5" t="str">
        <f t="shared" si="65"/>
        <v>Yes</v>
      </c>
    </row>
    <row r="695" spans="1:20" x14ac:dyDescent="0.35">
      <c r="A695" t="s">
        <v>707</v>
      </c>
      <c r="B695" s="2">
        <v>45728</v>
      </c>
      <c r="C695" t="s">
        <v>1905</v>
      </c>
      <c r="D695" t="s">
        <v>2403</v>
      </c>
      <c r="E695">
        <v>1</v>
      </c>
      <c r="F695">
        <v>176.58</v>
      </c>
      <c r="G695" t="s">
        <v>2878</v>
      </c>
      <c r="H695" t="s">
        <v>3065</v>
      </c>
      <c r="I695" t="s">
        <v>3072</v>
      </c>
      <c r="J695" t="s">
        <v>3768</v>
      </c>
      <c r="K695">
        <v>4</v>
      </c>
      <c r="L695" t="s">
        <v>4329</v>
      </c>
      <c r="M695" t="s">
        <v>4279</v>
      </c>
      <c r="N695">
        <v>176.58</v>
      </c>
      <c r="O695">
        <f t="shared" si="60"/>
        <v>176.58</v>
      </c>
      <c r="P695" t="str">
        <f t="shared" si="61"/>
        <v>Mar</v>
      </c>
      <c r="Q695" t="str">
        <f t="shared" si="62"/>
        <v>Q1</v>
      </c>
      <c r="R695" s="5" t="str">
        <f t="shared" si="63"/>
        <v>Medium</v>
      </c>
      <c r="S695" s="5" t="str">
        <f t="shared" si="64"/>
        <v>Pending</v>
      </c>
      <c r="T695" s="5" t="str">
        <f t="shared" si="65"/>
        <v>Yes</v>
      </c>
    </row>
    <row r="696" spans="1:20"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c r="O696">
        <f t="shared" si="60"/>
        <v>2666.08</v>
      </c>
      <c r="P696" t="str">
        <f t="shared" si="61"/>
        <v>Oct</v>
      </c>
      <c r="Q696" t="str">
        <f t="shared" si="62"/>
        <v>Q4</v>
      </c>
      <c r="R696" s="5" t="str">
        <f t="shared" si="63"/>
        <v>Large</v>
      </c>
      <c r="S696" s="5" t="str">
        <f t="shared" si="64"/>
        <v>Pending</v>
      </c>
      <c r="T696" s="5" t="str">
        <f t="shared" si="65"/>
        <v>Yes</v>
      </c>
    </row>
    <row r="697" spans="1:20"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c r="O697">
        <f t="shared" si="60"/>
        <v>506.5</v>
      </c>
      <c r="P697" t="str">
        <f t="shared" si="61"/>
        <v>Nov</v>
      </c>
      <c r="Q697" t="str">
        <f t="shared" si="62"/>
        <v>Q4</v>
      </c>
      <c r="R697" s="5" t="str">
        <f t="shared" si="63"/>
        <v>Large</v>
      </c>
      <c r="S697" s="5" t="str">
        <f t="shared" si="64"/>
        <v>Pending</v>
      </c>
      <c r="T697" s="5" t="str">
        <f t="shared" si="65"/>
        <v>Yes</v>
      </c>
    </row>
    <row r="698" spans="1:20"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c r="O698">
        <f t="shared" si="60"/>
        <v>604.79999999999995</v>
      </c>
      <c r="P698" t="str">
        <f t="shared" si="61"/>
        <v>Jul</v>
      </c>
      <c r="Q698" t="str">
        <f t="shared" si="62"/>
        <v>Q3</v>
      </c>
      <c r="R698" s="5" t="str">
        <f t="shared" si="63"/>
        <v>Large</v>
      </c>
      <c r="S698" s="5" t="str">
        <f t="shared" si="64"/>
        <v>Pending</v>
      </c>
      <c r="T698" s="5" t="str">
        <f t="shared" si="65"/>
        <v>Yes</v>
      </c>
    </row>
    <row r="699" spans="1:20"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c r="O699">
        <f t="shared" si="60"/>
        <v>474.25</v>
      </c>
      <c r="P699" t="str">
        <f t="shared" si="61"/>
        <v>Feb</v>
      </c>
      <c r="Q699" t="str">
        <f t="shared" si="62"/>
        <v>Q1</v>
      </c>
      <c r="R699" s="5" t="str">
        <f t="shared" si="63"/>
        <v>Medium</v>
      </c>
      <c r="S699" s="5" t="str">
        <f t="shared" si="64"/>
        <v>Pending</v>
      </c>
      <c r="T699" s="5" t="str">
        <f t="shared" si="65"/>
        <v>Yes</v>
      </c>
    </row>
    <row r="700" spans="1:20"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c r="O700">
        <f t="shared" si="60"/>
        <v>776.44</v>
      </c>
      <c r="P700" t="str">
        <f t="shared" si="61"/>
        <v>Jan</v>
      </c>
      <c r="Q700" t="str">
        <f t="shared" si="62"/>
        <v>Q1</v>
      </c>
      <c r="R700" s="5" t="str">
        <f t="shared" si="63"/>
        <v>Large</v>
      </c>
      <c r="S700" s="5" t="str">
        <f t="shared" si="64"/>
        <v>Completed</v>
      </c>
      <c r="T700" s="5" t="str">
        <f t="shared" si="65"/>
        <v>Yes</v>
      </c>
    </row>
    <row r="701" spans="1:20" x14ac:dyDescent="0.35">
      <c r="A701" t="s">
        <v>713</v>
      </c>
      <c r="B701" s="2">
        <v>45243</v>
      </c>
      <c r="C701" t="s">
        <v>1911</v>
      </c>
      <c r="D701" t="s">
        <v>2408</v>
      </c>
      <c r="E701">
        <v>3</v>
      </c>
      <c r="F701">
        <v>614.15</v>
      </c>
      <c r="G701" t="s">
        <v>2880</v>
      </c>
      <c r="H701" t="s">
        <v>3068</v>
      </c>
      <c r="I701" t="s">
        <v>3071</v>
      </c>
      <c r="J701" t="s">
        <v>3774</v>
      </c>
      <c r="K701">
        <v>3</v>
      </c>
      <c r="L701" t="s">
        <v>4329</v>
      </c>
      <c r="M701" t="s">
        <v>4281</v>
      </c>
      <c r="N701">
        <v>1842.45</v>
      </c>
      <c r="O701">
        <f t="shared" si="60"/>
        <v>1842.4499999999998</v>
      </c>
      <c r="P701" t="str">
        <f t="shared" si="61"/>
        <v>Nov</v>
      </c>
      <c r="Q701" t="str">
        <f t="shared" si="62"/>
        <v>Q4</v>
      </c>
      <c r="R701" s="5" t="str">
        <f t="shared" si="63"/>
        <v>Large</v>
      </c>
      <c r="S701" s="5" t="str">
        <f t="shared" si="64"/>
        <v>Pending</v>
      </c>
      <c r="T701" s="5" t="str">
        <f t="shared" si="65"/>
        <v>Yes</v>
      </c>
    </row>
    <row r="702" spans="1:20"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c r="O702">
        <f t="shared" si="60"/>
        <v>185.82</v>
      </c>
      <c r="P702" t="str">
        <f t="shared" si="61"/>
        <v>Sep</v>
      </c>
      <c r="Q702" t="str">
        <f t="shared" si="62"/>
        <v>Q3</v>
      </c>
      <c r="R702" s="5" t="str">
        <f t="shared" si="63"/>
        <v>Medium</v>
      </c>
      <c r="S702" s="5" t="str">
        <f t="shared" si="64"/>
        <v>Pending</v>
      </c>
      <c r="T702" s="5" t="str">
        <f t="shared" si="65"/>
        <v>Yes</v>
      </c>
    </row>
    <row r="703" spans="1:20"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c r="O703">
        <f t="shared" si="60"/>
        <v>276.65999999999997</v>
      </c>
      <c r="P703" t="str">
        <f t="shared" si="61"/>
        <v>Jun</v>
      </c>
      <c r="Q703" t="str">
        <f t="shared" si="62"/>
        <v>Q2</v>
      </c>
      <c r="R703" s="5" t="str">
        <f t="shared" si="63"/>
        <v>Medium</v>
      </c>
      <c r="S703" s="5" t="str">
        <f t="shared" si="64"/>
        <v>Completed</v>
      </c>
      <c r="T703" s="5" t="str">
        <f t="shared" si="65"/>
        <v>Yes</v>
      </c>
    </row>
    <row r="704" spans="1:20" x14ac:dyDescent="0.35">
      <c r="A704" t="s">
        <v>716</v>
      </c>
      <c r="B704" s="2">
        <v>45452</v>
      </c>
      <c r="C704" t="s">
        <v>1914</v>
      </c>
      <c r="D704" t="s">
        <v>2407</v>
      </c>
      <c r="E704">
        <v>3</v>
      </c>
      <c r="F704">
        <v>562.54999999999995</v>
      </c>
      <c r="G704" t="s">
        <v>2842</v>
      </c>
      <c r="H704" t="s">
        <v>3065</v>
      </c>
      <c r="I704" t="s">
        <v>3072</v>
      </c>
      <c r="J704" t="s">
        <v>3777</v>
      </c>
      <c r="K704">
        <v>6</v>
      </c>
      <c r="L704" t="s">
        <v>4329</v>
      </c>
      <c r="M704" t="s">
        <v>4280</v>
      </c>
      <c r="N704">
        <v>1687.65</v>
      </c>
      <c r="O704">
        <f t="shared" si="60"/>
        <v>1687.6499999999999</v>
      </c>
      <c r="P704" t="str">
        <f t="shared" si="61"/>
        <v>Jun</v>
      </c>
      <c r="Q704" t="str">
        <f t="shared" si="62"/>
        <v>Q2</v>
      </c>
      <c r="R704" s="5" t="str">
        <f t="shared" si="63"/>
        <v>Large</v>
      </c>
      <c r="S704" s="5" t="str">
        <f t="shared" si="64"/>
        <v>Pending</v>
      </c>
      <c r="T704" s="5" t="str">
        <f t="shared" si="65"/>
        <v>Yes</v>
      </c>
    </row>
    <row r="705" spans="1:20"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c r="O705">
        <f t="shared" si="60"/>
        <v>92.79</v>
      </c>
      <c r="P705" t="str">
        <f t="shared" si="61"/>
        <v>Mar</v>
      </c>
      <c r="Q705" t="str">
        <f t="shared" si="62"/>
        <v>Q1</v>
      </c>
      <c r="R705" s="5" t="str">
        <f t="shared" si="63"/>
        <v>Small</v>
      </c>
      <c r="S705" s="5" t="str">
        <f t="shared" si="64"/>
        <v>Pending</v>
      </c>
      <c r="T705" s="5" t="str">
        <f t="shared" si="65"/>
        <v>Yes</v>
      </c>
    </row>
    <row r="706" spans="1:20"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c r="O706">
        <f t="shared" ref="O706:O769" si="66">E706*F706</f>
        <v>121.08</v>
      </c>
      <c r="P706" t="str">
        <f t="shared" ref="P706:P769" si="67">TEXT(B706, "mmm")</f>
        <v>Jun</v>
      </c>
      <c r="Q706" t="str">
        <f t="shared" ref="Q706:Q769" si="68">"Q"&amp;ROUNDUP(MONTH(B706)/3,0)</f>
        <v>Q2</v>
      </c>
      <c r="R706" s="5" t="str">
        <f t="shared" ref="R706:R769" si="69">IF(N706&lt;100,"Small", IF(N706&lt;500, "Medium", "Large"))</f>
        <v>Medium</v>
      </c>
      <c r="S706" s="5" t="str">
        <f t="shared" ref="S706:S769" si="70">IF(I706="Delivered","Completed","Pending")</f>
        <v>Completed</v>
      </c>
      <c r="T706" s="5" t="str">
        <f t="shared" ref="T706:T769" si="71">IF(L706="","No", "Yes")</f>
        <v>Yes</v>
      </c>
    </row>
    <row r="707" spans="1:20"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c r="O707">
        <f t="shared" si="66"/>
        <v>98.16</v>
      </c>
      <c r="P707" t="str">
        <f t="shared" si="67"/>
        <v>Mar</v>
      </c>
      <c r="Q707" t="str">
        <f t="shared" si="68"/>
        <v>Q1</v>
      </c>
      <c r="R707" s="5" t="str">
        <f t="shared" si="69"/>
        <v>Small</v>
      </c>
      <c r="S707" s="5" t="str">
        <f t="shared" si="70"/>
        <v>Pending</v>
      </c>
      <c r="T707" s="5" t="str">
        <f t="shared" si="71"/>
        <v>Yes</v>
      </c>
    </row>
    <row r="708" spans="1:20"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c r="O708">
        <f t="shared" si="66"/>
        <v>1140.45</v>
      </c>
      <c r="P708" t="str">
        <f t="shared" si="67"/>
        <v>Mar</v>
      </c>
      <c r="Q708" t="str">
        <f t="shared" si="68"/>
        <v>Q1</v>
      </c>
      <c r="R708" s="5" t="str">
        <f t="shared" si="69"/>
        <v>Large</v>
      </c>
      <c r="S708" s="5" t="str">
        <f t="shared" si="70"/>
        <v>Pending</v>
      </c>
      <c r="T708" s="5" t="str">
        <f t="shared" si="71"/>
        <v>Yes</v>
      </c>
    </row>
    <row r="709" spans="1:20"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c r="O709">
        <f t="shared" si="66"/>
        <v>2600.16</v>
      </c>
      <c r="P709" t="str">
        <f t="shared" si="67"/>
        <v>Nov</v>
      </c>
      <c r="Q709" t="str">
        <f t="shared" si="68"/>
        <v>Q4</v>
      </c>
      <c r="R709" s="5" t="str">
        <f t="shared" si="69"/>
        <v>Large</v>
      </c>
      <c r="S709" s="5" t="str">
        <f t="shared" si="70"/>
        <v>Pending</v>
      </c>
      <c r="T709" s="5" t="str">
        <f t="shared" si="71"/>
        <v>Yes</v>
      </c>
    </row>
    <row r="710" spans="1:20"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c r="O710">
        <f t="shared" si="66"/>
        <v>665.11</v>
      </c>
      <c r="P710" t="str">
        <f t="shared" si="67"/>
        <v>Mar</v>
      </c>
      <c r="Q710" t="str">
        <f t="shared" si="68"/>
        <v>Q1</v>
      </c>
      <c r="R710" s="5" t="str">
        <f t="shared" si="69"/>
        <v>Large</v>
      </c>
      <c r="S710" s="5" t="str">
        <f t="shared" si="70"/>
        <v>Pending</v>
      </c>
      <c r="T710" s="5" t="str">
        <f t="shared" si="71"/>
        <v>Yes</v>
      </c>
    </row>
    <row r="711" spans="1:20"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c r="O711">
        <f t="shared" si="66"/>
        <v>386.03</v>
      </c>
      <c r="P711" t="str">
        <f t="shared" si="67"/>
        <v>Dec</v>
      </c>
      <c r="Q711" t="str">
        <f t="shared" si="68"/>
        <v>Q4</v>
      </c>
      <c r="R711" s="5" t="str">
        <f t="shared" si="69"/>
        <v>Medium</v>
      </c>
      <c r="S711" s="5" t="str">
        <f t="shared" si="70"/>
        <v>Pending</v>
      </c>
      <c r="T711" s="5" t="str">
        <f t="shared" si="71"/>
        <v>Yes</v>
      </c>
    </row>
    <row r="712" spans="1:20" x14ac:dyDescent="0.35">
      <c r="A712" t="s">
        <v>724</v>
      </c>
      <c r="B712" s="2">
        <v>45495</v>
      </c>
      <c r="C712" t="s">
        <v>1922</v>
      </c>
      <c r="D712" t="s">
        <v>2408</v>
      </c>
      <c r="E712">
        <v>5</v>
      </c>
      <c r="F712">
        <v>21.54</v>
      </c>
      <c r="G712" t="s">
        <v>2885</v>
      </c>
      <c r="H712" t="s">
        <v>3068</v>
      </c>
      <c r="I712" t="s">
        <v>3072</v>
      </c>
      <c r="J712" t="s">
        <v>3785</v>
      </c>
      <c r="K712">
        <v>10</v>
      </c>
      <c r="L712" t="s">
        <v>4329</v>
      </c>
      <c r="M712" t="s">
        <v>4282</v>
      </c>
      <c r="N712">
        <v>107.7</v>
      </c>
      <c r="O712">
        <f t="shared" si="66"/>
        <v>107.69999999999999</v>
      </c>
      <c r="P712" t="str">
        <f t="shared" si="67"/>
        <v>Jul</v>
      </c>
      <c r="Q712" t="str">
        <f t="shared" si="68"/>
        <v>Q3</v>
      </c>
      <c r="R712" s="5" t="str">
        <f t="shared" si="69"/>
        <v>Medium</v>
      </c>
      <c r="S712" s="5" t="str">
        <f t="shared" si="70"/>
        <v>Pending</v>
      </c>
      <c r="T712" s="5" t="str">
        <f t="shared" si="71"/>
        <v>Yes</v>
      </c>
    </row>
    <row r="713" spans="1:20"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c r="O713">
        <f t="shared" si="66"/>
        <v>951.56</v>
      </c>
      <c r="P713" t="str">
        <f t="shared" si="67"/>
        <v>Jul</v>
      </c>
      <c r="Q713" t="str">
        <f t="shared" si="68"/>
        <v>Q3</v>
      </c>
      <c r="R713" s="5" t="str">
        <f t="shared" si="69"/>
        <v>Large</v>
      </c>
      <c r="S713" s="5" t="str">
        <f t="shared" si="70"/>
        <v>Pending</v>
      </c>
      <c r="T713" s="5" t="str">
        <f t="shared" si="71"/>
        <v>Yes</v>
      </c>
    </row>
    <row r="714" spans="1:20"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c r="O714">
        <f t="shared" si="66"/>
        <v>136.80000000000001</v>
      </c>
      <c r="P714" t="str">
        <f t="shared" si="67"/>
        <v>Jan</v>
      </c>
      <c r="Q714" t="str">
        <f t="shared" si="68"/>
        <v>Q1</v>
      </c>
      <c r="R714" s="5" t="str">
        <f t="shared" si="69"/>
        <v>Medium</v>
      </c>
      <c r="S714" s="5" t="str">
        <f t="shared" si="70"/>
        <v>Pending</v>
      </c>
      <c r="T714" s="5" t="str">
        <f t="shared" si="71"/>
        <v>Yes</v>
      </c>
    </row>
    <row r="715" spans="1:20"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c r="O715">
        <f t="shared" si="66"/>
        <v>2129.96</v>
      </c>
      <c r="P715" t="str">
        <f t="shared" si="67"/>
        <v>Jun</v>
      </c>
      <c r="Q715" t="str">
        <f t="shared" si="68"/>
        <v>Q2</v>
      </c>
      <c r="R715" s="5" t="str">
        <f t="shared" si="69"/>
        <v>Large</v>
      </c>
      <c r="S715" s="5" t="str">
        <f t="shared" si="70"/>
        <v>Pending</v>
      </c>
      <c r="T715" s="5" t="str">
        <f t="shared" si="71"/>
        <v>Yes</v>
      </c>
    </row>
    <row r="716" spans="1:20"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c r="O716">
        <f t="shared" si="66"/>
        <v>51.73</v>
      </c>
      <c r="P716" t="str">
        <f t="shared" si="67"/>
        <v>Apr</v>
      </c>
      <c r="Q716" t="str">
        <f t="shared" si="68"/>
        <v>Q2</v>
      </c>
      <c r="R716" s="5" t="str">
        <f t="shared" si="69"/>
        <v>Small</v>
      </c>
      <c r="S716" s="5" t="str">
        <f t="shared" si="70"/>
        <v>Pending</v>
      </c>
      <c r="T716" s="5" t="str">
        <f t="shared" si="71"/>
        <v>Yes</v>
      </c>
    </row>
    <row r="717" spans="1:20"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c r="O717">
        <f t="shared" si="66"/>
        <v>1960.8899999999999</v>
      </c>
      <c r="P717" t="str">
        <f t="shared" si="67"/>
        <v>Jul</v>
      </c>
      <c r="Q717" t="str">
        <f t="shared" si="68"/>
        <v>Q3</v>
      </c>
      <c r="R717" s="5" t="str">
        <f t="shared" si="69"/>
        <v>Large</v>
      </c>
      <c r="S717" s="5" t="str">
        <f t="shared" si="70"/>
        <v>Completed</v>
      </c>
      <c r="T717" s="5" t="str">
        <f t="shared" si="71"/>
        <v>Yes</v>
      </c>
    </row>
    <row r="718" spans="1:20"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c r="O718">
        <f t="shared" si="66"/>
        <v>1362.8700000000001</v>
      </c>
      <c r="P718" t="str">
        <f t="shared" si="67"/>
        <v>Jun</v>
      </c>
      <c r="Q718" t="str">
        <f t="shared" si="68"/>
        <v>Q2</v>
      </c>
      <c r="R718" s="5" t="str">
        <f t="shared" si="69"/>
        <v>Large</v>
      </c>
      <c r="S718" s="5" t="str">
        <f t="shared" si="70"/>
        <v>Pending</v>
      </c>
      <c r="T718" s="5" t="str">
        <f t="shared" si="71"/>
        <v>Yes</v>
      </c>
    </row>
    <row r="719" spans="1:20"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c r="O719">
        <f t="shared" si="66"/>
        <v>366.33</v>
      </c>
      <c r="P719" t="str">
        <f t="shared" si="67"/>
        <v>Oct</v>
      </c>
      <c r="Q719" t="str">
        <f t="shared" si="68"/>
        <v>Q4</v>
      </c>
      <c r="R719" s="5" t="str">
        <f t="shared" si="69"/>
        <v>Medium</v>
      </c>
      <c r="S719" s="5" t="str">
        <f t="shared" si="70"/>
        <v>Completed</v>
      </c>
      <c r="T719" s="5" t="str">
        <f t="shared" si="71"/>
        <v>Yes</v>
      </c>
    </row>
    <row r="720" spans="1:20"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c r="O720">
        <f t="shared" si="66"/>
        <v>258.95999999999998</v>
      </c>
      <c r="P720" t="str">
        <f t="shared" si="67"/>
        <v>Apr</v>
      </c>
      <c r="Q720" t="str">
        <f t="shared" si="68"/>
        <v>Q2</v>
      </c>
      <c r="R720" s="5" t="str">
        <f t="shared" si="69"/>
        <v>Medium</v>
      </c>
      <c r="S720" s="5" t="str">
        <f t="shared" si="70"/>
        <v>Pending</v>
      </c>
      <c r="T720" s="5" t="str">
        <f t="shared" si="71"/>
        <v>Yes</v>
      </c>
    </row>
    <row r="721" spans="1:20"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c r="O721">
        <f t="shared" si="66"/>
        <v>1362.12</v>
      </c>
      <c r="P721" t="str">
        <f t="shared" si="67"/>
        <v>Jan</v>
      </c>
      <c r="Q721" t="str">
        <f t="shared" si="68"/>
        <v>Q1</v>
      </c>
      <c r="R721" s="5" t="str">
        <f t="shared" si="69"/>
        <v>Large</v>
      </c>
      <c r="S721" s="5" t="str">
        <f t="shared" si="70"/>
        <v>Pending</v>
      </c>
      <c r="T721" s="5" t="str">
        <f t="shared" si="71"/>
        <v>Yes</v>
      </c>
    </row>
    <row r="722" spans="1:20"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c r="O722">
        <f t="shared" si="66"/>
        <v>644.75</v>
      </c>
      <c r="P722" t="str">
        <f t="shared" si="67"/>
        <v>Sep</v>
      </c>
      <c r="Q722" t="str">
        <f t="shared" si="68"/>
        <v>Q3</v>
      </c>
      <c r="R722" s="5" t="str">
        <f t="shared" si="69"/>
        <v>Large</v>
      </c>
      <c r="S722" s="5" t="str">
        <f t="shared" si="70"/>
        <v>Pending</v>
      </c>
      <c r="T722" s="5" t="str">
        <f t="shared" si="71"/>
        <v>Yes</v>
      </c>
    </row>
    <row r="723" spans="1:20" x14ac:dyDescent="0.35">
      <c r="A723" t="s">
        <v>735</v>
      </c>
      <c r="B723" s="2">
        <v>45369</v>
      </c>
      <c r="C723" t="s">
        <v>1932</v>
      </c>
      <c r="D723" t="s">
        <v>2409</v>
      </c>
      <c r="E723">
        <v>2</v>
      </c>
      <c r="F723">
        <v>118.59</v>
      </c>
      <c r="G723" t="s">
        <v>2893</v>
      </c>
      <c r="H723" t="s">
        <v>3067</v>
      </c>
      <c r="I723" t="s">
        <v>3073</v>
      </c>
      <c r="J723" t="s">
        <v>3796</v>
      </c>
      <c r="K723">
        <v>2</v>
      </c>
      <c r="L723" t="s">
        <v>4329</v>
      </c>
      <c r="M723" t="s">
        <v>4280</v>
      </c>
      <c r="N723">
        <v>237.18</v>
      </c>
      <c r="O723">
        <f t="shared" si="66"/>
        <v>237.18</v>
      </c>
      <c r="P723" t="str">
        <f t="shared" si="67"/>
        <v>Mar</v>
      </c>
      <c r="Q723" t="str">
        <f t="shared" si="68"/>
        <v>Q1</v>
      </c>
      <c r="R723" s="5" t="str">
        <f t="shared" si="69"/>
        <v>Medium</v>
      </c>
      <c r="S723" s="5" t="str">
        <f t="shared" si="70"/>
        <v>Completed</v>
      </c>
      <c r="T723" s="5" t="str">
        <f t="shared" si="71"/>
        <v>Yes</v>
      </c>
    </row>
    <row r="724" spans="1:20" x14ac:dyDescent="0.35">
      <c r="A724" t="s">
        <v>736</v>
      </c>
      <c r="B724" s="2">
        <v>45611</v>
      </c>
      <c r="C724" t="s">
        <v>1933</v>
      </c>
      <c r="D724" t="s">
        <v>2407</v>
      </c>
      <c r="E724">
        <v>1</v>
      </c>
      <c r="F724">
        <v>95.1</v>
      </c>
      <c r="G724" t="s">
        <v>2654</v>
      </c>
      <c r="H724" t="s">
        <v>3068</v>
      </c>
      <c r="I724" t="s">
        <v>3074</v>
      </c>
      <c r="J724" t="s">
        <v>3797</v>
      </c>
      <c r="K724">
        <v>1</v>
      </c>
      <c r="L724" t="s">
        <v>4277</v>
      </c>
      <c r="M724" t="s">
        <v>4278</v>
      </c>
      <c r="N724">
        <v>95.1</v>
      </c>
      <c r="O724">
        <f t="shared" si="66"/>
        <v>95.1</v>
      </c>
      <c r="P724" t="str">
        <f t="shared" si="67"/>
        <v>Nov</v>
      </c>
      <c r="Q724" t="str">
        <f t="shared" si="68"/>
        <v>Q4</v>
      </c>
      <c r="R724" s="5" t="str">
        <f t="shared" si="69"/>
        <v>Small</v>
      </c>
      <c r="S724" s="5" t="str">
        <f t="shared" si="70"/>
        <v>Pending</v>
      </c>
      <c r="T724" s="5" t="str">
        <f t="shared" si="71"/>
        <v>Yes</v>
      </c>
    </row>
    <row r="725" spans="1:20"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c r="O725">
        <f t="shared" si="66"/>
        <v>164.85000000000002</v>
      </c>
      <c r="P725" t="str">
        <f t="shared" si="67"/>
        <v>Dec</v>
      </c>
      <c r="Q725" t="str">
        <f t="shared" si="68"/>
        <v>Q4</v>
      </c>
      <c r="R725" s="5" t="str">
        <f t="shared" si="69"/>
        <v>Medium</v>
      </c>
      <c r="S725" s="5" t="str">
        <f t="shared" si="70"/>
        <v>Pending</v>
      </c>
      <c r="T725" s="5" t="str">
        <f t="shared" si="71"/>
        <v>Yes</v>
      </c>
    </row>
    <row r="726" spans="1:20"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c r="O726">
        <f t="shared" si="66"/>
        <v>410.90999999999997</v>
      </c>
      <c r="P726" t="str">
        <f t="shared" si="67"/>
        <v>Oct</v>
      </c>
      <c r="Q726" t="str">
        <f t="shared" si="68"/>
        <v>Q4</v>
      </c>
      <c r="R726" s="5" t="str">
        <f t="shared" si="69"/>
        <v>Medium</v>
      </c>
      <c r="S726" s="5" t="str">
        <f t="shared" si="70"/>
        <v>Pending</v>
      </c>
      <c r="T726" s="5" t="str">
        <f t="shared" si="71"/>
        <v>Yes</v>
      </c>
    </row>
    <row r="727" spans="1:20" x14ac:dyDescent="0.35">
      <c r="A727" t="s">
        <v>739</v>
      </c>
      <c r="B727" s="2">
        <v>44997</v>
      </c>
      <c r="C727" t="s">
        <v>1936</v>
      </c>
      <c r="D727" t="s">
        <v>2406</v>
      </c>
      <c r="E727">
        <v>2</v>
      </c>
      <c r="F727">
        <v>194.85</v>
      </c>
      <c r="G727" t="s">
        <v>2787</v>
      </c>
      <c r="H727" t="s">
        <v>3068</v>
      </c>
      <c r="I727" t="s">
        <v>3072</v>
      </c>
      <c r="J727" t="s">
        <v>3800</v>
      </c>
      <c r="K727">
        <v>5</v>
      </c>
      <c r="L727" t="s">
        <v>4329</v>
      </c>
      <c r="M727" t="s">
        <v>4279</v>
      </c>
      <c r="N727">
        <v>389.7</v>
      </c>
      <c r="O727">
        <f t="shared" si="66"/>
        <v>389.7</v>
      </c>
      <c r="P727" t="str">
        <f t="shared" si="67"/>
        <v>Mar</v>
      </c>
      <c r="Q727" t="str">
        <f t="shared" si="68"/>
        <v>Q1</v>
      </c>
      <c r="R727" s="5" t="str">
        <f t="shared" si="69"/>
        <v>Medium</v>
      </c>
      <c r="S727" s="5" t="str">
        <f t="shared" si="70"/>
        <v>Pending</v>
      </c>
      <c r="T727" s="5" t="str">
        <f t="shared" si="71"/>
        <v>Yes</v>
      </c>
    </row>
    <row r="728" spans="1:20"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c r="O728">
        <f t="shared" si="66"/>
        <v>2332.08</v>
      </c>
      <c r="P728" t="str">
        <f t="shared" si="67"/>
        <v>Oct</v>
      </c>
      <c r="Q728" t="str">
        <f t="shared" si="68"/>
        <v>Q4</v>
      </c>
      <c r="R728" s="5" t="str">
        <f t="shared" si="69"/>
        <v>Large</v>
      </c>
      <c r="S728" s="5" t="str">
        <f t="shared" si="70"/>
        <v>Completed</v>
      </c>
      <c r="T728" s="5" t="str">
        <f t="shared" si="71"/>
        <v>Yes</v>
      </c>
    </row>
    <row r="729" spans="1:20"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c r="O729">
        <f t="shared" si="66"/>
        <v>478.75</v>
      </c>
      <c r="P729" t="str">
        <f t="shared" si="67"/>
        <v>Sep</v>
      </c>
      <c r="Q729" t="str">
        <f t="shared" si="68"/>
        <v>Q3</v>
      </c>
      <c r="R729" s="5" t="str">
        <f t="shared" si="69"/>
        <v>Medium</v>
      </c>
      <c r="S729" s="5" t="str">
        <f t="shared" si="70"/>
        <v>Pending</v>
      </c>
      <c r="T729" s="5" t="str">
        <f t="shared" si="71"/>
        <v>Yes</v>
      </c>
    </row>
    <row r="730" spans="1:20"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c r="O730">
        <f t="shared" si="66"/>
        <v>1303.04</v>
      </c>
      <c r="P730" t="str">
        <f t="shared" si="67"/>
        <v>Jul</v>
      </c>
      <c r="Q730" t="str">
        <f t="shared" si="68"/>
        <v>Q3</v>
      </c>
      <c r="R730" s="5" t="str">
        <f t="shared" si="69"/>
        <v>Large</v>
      </c>
      <c r="S730" s="5" t="str">
        <f t="shared" si="70"/>
        <v>Pending</v>
      </c>
      <c r="T730" s="5" t="str">
        <f t="shared" si="71"/>
        <v>Yes</v>
      </c>
    </row>
    <row r="731" spans="1:20"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c r="O731">
        <f t="shared" si="66"/>
        <v>745.64</v>
      </c>
      <c r="P731" t="str">
        <f t="shared" si="67"/>
        <v>Sep</v>
      </c>
      <c r="Q731" t="str">
        <f t="shared" si="68"/>
        <v>Q3</v>
      </c>
      <c r="R731" s="5" t="str">
        <f t="shared" si="69"/>
        <v>Large</v>
      </c>
      <c r="S731" s="5" t="str">
        <f t="shared" si="70"/>
        <v>Pending</v>
      </c>
      <c r="T731" s="5" t="str">
        <f t="shared" si="71"/>
        <v>Yes</v>
      </c>
    </row>
    <row r="732" spans="1:20"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c r="O732">
        <f t="shared" si="66"/>
        <v>474.6</v>
      </c>
      <c r="P732" t="str">
        <f t="shared" si="67"/>
        <v>Feb</v>
      </c>
      <c r="Q732" t="str">
        <f t="shared" si="68"/>
        <v>Q1</v>
      </c>
      <c r="R732" s="5" t="str">
        <f t="shared" si="69"/>
        <v>Medium</v>
      </c>
      <c r="S732" s="5" t="str">
        <f t="shared" si="70"/>
        <v>Completed</v>
      </c>
      <c r="T732" s="5" t="str">
        <f t="shared" si="71"/>
        <v>Yes</v>
      </c>
    </row>
    <row r="733" spans="1:20" x14ac:dyDescent="0.35">
      <c r="A733" t="s">
        <v>745</v>
      </c>
      <c r="B733" s="2">
        <v>45450</v>
      </c>
      <c r="C733" t="s">
        <v>1942</v>
      </c>
      <c r="D733" t="s">
        <v>2407</v>
      </c>
      <c r="E733">
        <v>5</v>
      </c>
      <c r="F733">
        <v>584.46</v>
      </c>
      <c r="G733" t="s">
        <v>2896</v>
      </c>
      <c r="H733" t="s">
        <v>3067</v>
      </c>
      <c r="I733" t="s">
        <v>3072</v>
      </c>
      <c r="J733" t="s">
        <v>3806</v>
      </c>
      <c r="K733">
        <v>8</v>
      </c>
      <c r="L733" t="s">
        <v>4329</v>
      </c>
      <c r="M733" t="s">
        <v>4280</v>
      </c>
      <c r="N733">
        <v>2922.3</v>
      </c>
      <c r="O733">
        <f t="shared" si="66"/>
        <v>2922.3</v>
      </c>
      <c r="P733" t="str">
        <f t="shared" si="67"/>
        <v>Jun</v>
      </c>
      <c r="Q733" t="str">
        <f t="shared" si="68"/>
        <v>Q2</v>
      </c>
      <c r="R733" s="5" t="str">
        <f t="shared" si="69"/>
        <v>Large</v>
      </c>
      <c r="S733" s="5" t="str">
        <f t="shared" si="70"/>
        <v>Pending</v>
      </c>
      <c r="T733" s="5" t="str">
        <f t="shared" si="71"/>
        <v>Yes</v>
      </c>
    </row>
    <row r="734" spans="1:20" x14ac:dyDescent="0.35">
      <c r="A734" t="s">
        <v>746</v>
      </c>
      <c r="B734" s="2">
        <v>45723</v>
      </c>
      <c r="C734" t="s">
        <v>1943</v>
      </c>
      <c r="D734" t="s">
        <v>2408</v>
      </c>
      <c r="E734">
        <v>1</v>
      </c>
      <c r="F734">
        <v>132.05000000000001</v>
      </c>
      <c r="G734" t="s">
        <v>2876</v>
      </c>
      <c r="H734" t="s">
        <v>3066</v>
      </c>
      <c r="I734" t="s">
        <v>3073</v>
      </c>
      <c r="J734" t="s">
        <v>3807</v>
      </c>
      <c r="K734">
        <v>2</v>
      </c>
      <c r="L734" t="s">
        <v>4329</v>
      </c>
      <c r="M734" t="s">
        <v>4282</v>
      </c>
      <c r="N734">
        <v>132.05000000000001</v>
      </c>
      <c r="O734">
        <f t="shared" si="66"/>
        <v>132.05000000000001</v>
      </c>
      <c r="P734" t="str">
        <f t="shared" si="67"/>
        <v>Mar</v>
      </c>
      <c r="Q734" t="str">
        <f t="shared" si="68"/>
        <v>Q1</v>
      </c>
      <c r="R734" s="5" t="str">
        <f t="shared" si="69"/>
        <v>Medium</v>
      </c>
      <c r="S734" s="5" t="str">
        <f t="shared" si="70"/>
        <v>Completed</v>
      </c>
      <c r="T734" s="5" t="str">
        <f t="shared" si="71"/>
        <v>Yes</v>
      </c>
    </row>
    <row r="735" spans="1:20"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c r="O735">
        <f t="shared" si="66"/>
        <v>1979.36</v>
      </c>
      <c r="P735" t="str">
        <f t="shared" si="67"/>
        <v>Dec</v>
      </c>
      <c r="Q735" t="str">
        <f t="shared" si="68"/>
        <v>Q4</v>
      </c>
      <c r="R735" s="5" t="str">
        <f t="shared" si="69"/>
        <v>Large</v>
      </c>
      <c r="S735" s="5" t="str">
        <f t="shared" si="70"/>
        <v>Pending</v>
      </c>
      <c r="T735" s="5" t="str">
        <f t="shared" si="71"/>
        <v>Yes</v>
      </c>
    </row>
    <row r="736" spans="1:20"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c r="O736">
        <f t="shared" si="66"/>
        <v>898.44</v>
      </c>
      <c r="P736" t="str">
        <f t="shared" si="67"/>
        <v>Jan</v>
      </c>
      <c r="Q736" t="str">
        <f t="shared" si="68"/>
        <v>Q1</v>
      </c>
      <c r="R736" s="5" t="str">
        <f t="shared" si="69"/>
        <v>Large</v>
      </c>
      <c r="S736" s="5" t="str">
        <f t="shared" si="70"/>
        <v>Pending</v>
      </c>
      <c r="T736" s="5" t="str">
        <f t="shared" si="71"/>
        <v>Yes</v>
      </c>
    </row>
    <row r="737" spans="1:20" x14ac:dyDescent="0.35">
      <c r="A737" t="s">
        <v>749</v>
      </c>
      <c r="B737" s="2">
        <v>45471</v>
      </c>
      <c r="C737" t="s">
        <v>1946</v>
      </c>
      <c r="D737" t="s">
        <v>2403</v>
      </c>
      <c r="E737">
        <v>4</v>
      </c>
      <c r="F737">
        <v>44.07</v>
      </c>
      <c r="G737" t="s">
        <v>2729</v>
      </c>
      <c r="H737" t="s">
        <v>3065</v>
      </c>
      <c r="I737" t="s">
        <v>3074</v>
      </c>
      <c r="J737" t="s">
        <v>3810</v>
      </c>
      <c r="K737">
        <v>6</v>
      </c>
      <c r="L737" t="s">
        <v>4329</v>
      </c>
      <c r="M737" t="s">
        <v>4280</v>
      </c>
      <c r="N737">
        <v>176.28</v>
      </c>
      <c r="O737">
        <f t="shared" si="66"/>
        <v>176.28</v>
      </c>
      <c r="P737" t="str">
        <f t="shared" si="67"/>
        <v>Jun</v>
      </c>
      <c r="Q737" t="str">
        <f t="shared" si="68"/>
        <v>Q2</v>
      </c>
      <c r="R737" s="5" t="str">
        <f t="shared" si="69"/>
        <v>Medium</v>
      </c>
      <c r="S737" s="5" t="str">
        <f t="shared" si="70"/>
        <v>Pending</v>
      </c>
      <c r="T737" s="5" t="str">
        <f t="shared" si="71"/>
        <v>Yes</v>
      </c>
    </row>
    <row r="738" spans="1:20"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c r="O738">
        <f t="shared" si="66"/>
        <v>2092.6499999999996</v>
      </c>
      <c r="P738" t="str">
        <f t="shared" si="67"/>
        <v>Feb</v>
      </c>
      <c r="Q738" t="str">
        <f t="shared" si="68"/>
        <v>Q1</v>
      </c>
      <c r="R738" s="5" t="str">
        <f t="shared" si="69"/>
        <v>Large</v>
      </c>
      <c r="S738" s="5" t="str">
        <f t="shared" si="70"/>
        <v>Pending</v>
      </c>
      <c r="T738" s="5" t="str">
        <f t="shared" si="71"/>
        <v>Yes</v>
      </c>
    </row>
    <row r="739" spans="1:20"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c r="O739">
        <f t="shared" si="66"/>
        <v>2131.48</v>
      </c>
      <c r="P739" t="str">
        <f t="shared" si="67"/>
        <v>Jan</v>
      </c>
      <c r="Q739" t="str">
        <f t="shared" si="68"/>
        <v>Q1</v>
      </c>
      <c r="R739" s="5" t="str">
        <f t="shared" si="69"/>
        <v>Large</v>
      </c>
      <c r="S739" s="5" t="str">
        <f t="shared" si="70"/>
        <v>Pending</v>
      </c>
      <c r="T739" s="5" t="str">
        <f t="shared" si="71"/>
        <v>Yes</v>
      </c>
    </row>
    <row r="740" spans="1:20"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c r="O740">
        <f t="shared" si="66"/>
        <v>970.74</v>
      </c>
      <c r="P740" t="str">
        <f t="shared" si="67"/>
        <v>Jun</v>
      </c>
      <c r="Q740" t="str">
        <f t="shared" si="68"/>
        <v>Q2</v>
      </c>
      <c r="R740" s="5" t="str">
        <f t="shared" si="69"/>
        <v>Large</v>
      </c>
      <c r="S740" s="5" t="str">
        <f t="shared" si="70"/>
        <v>Pending</v>
      </c>
      <c r="T740" s="5" t="str">
        <f t="shared" si="71"/>
        <v>Yes</v>
      </c>
    </row>
    <row r="741" spans="1:20"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c r="O741">
        <f t="shared" si="66"/>
        <v>1546.92</v>
      </c>
      <c r="P741" t="str">
        <f t="shared" si="67"/>
        <v>Jun</v>
      </c>
      <c r="Q741" t="str">
        <f t="shared" si="68"/>
        <v>Q2</v>
      </c>
      <c r="R741" s="5" t="str">
        <f t="shared" si="69"/>
        <v>Large</v>
      </c>
      <c r="S741" s="5" t="str">
        <f t="shared" si="70"/>
        <v>Completed</v>
      </c>
      <c r="T741" s="5" t="str">
        <f t="shared" si="71"/>
        <v>Yes</v>
      </c>
    </row>
    <row r="742" spans="1:20" x14ac:dyDescent="0.35">
      <c r="A742" t="s">
        <v>754</v>
      </c>
      <c r="B742" s="2">
        <v>45493</v>
      </c>
      <c r="C742" t="s">
        <v>1951</v>
      </c>
      <c r="D742" t="s">
        <v>2409</v>
      </c>
      <c r="E742">
        <v>2</v>
      </c>
      <c r="F742">
        <v>377.47</v>
      </c>
      <c r="G742" t="s">
        <v>2749</v>
      </c>
      <c r="H742" t="s">
        <v>3069</v>
      </c>
      <c r="I742" t="s">
        <v>3074</v>
      </c>
      <c r="J742" t="s">
        <v>3815</v>
      </c>
      <c r="K742">
        <v>7</v>
      </c>
      <c r="L742" t="s">
        <v>4329</v>
      </c>
      <c r="M742" t="s">
        <v>4282</v>
      </c>
      <c r="N742">
        <v>754.94</v>
      </c>
      <c r="O742">
        <f t="shared" si="66"/>
        <v>754.94</v>
      </c>
      <c r="P742" t="str">
        <f t="shared" si="67"/>
        <v>Jul</v>
      </c>
      <c r="Q742" t="str">
        <f t="shared" si="68"/>
        <v>Q3</v>
      </c>
      <c r="R742" s="5" t="str">
        <f t="shared" si="69"/>
        <v>Large</v>
      </c>
      <c r="S742" s="5" t="str">
        <f t="shared" si="70"/>
        <v>Pending</v>
      </c>
      <c r="T742" s="5" t="str">
        <f t="shared" si="71"/>
        <v>Yes</v>
      </c>
    </row>
    <row r="743" spans="1:20" x14ac:dyDescent="0.35">
      <c r="A743" t="s">
        <v>755</v>
      </c>
      <c r="B743" s="2">
        <v>45680</v>
      </c>
      <c r="C743" t="s">
        <v>1952</v>
      </c>
      <c r="D743" t="s">
        <v>2403</v>
      </c>
      <c r="E743">
        <v>5</v>
      </c>
      <c r="F743">
        <v>332.64</v>
      </c>
      <c r="G743" t="s">
        <v>2899</v>
      </c>
      <c r="H743" t="s">
        <v>3068</v>
      </c>
      <c r="I743" t="s">
        <v>3073</v>
      </c>
      <c r="J743" t="s">
        <v>3816</v>
      </c>
      <c r="K743">
        <v>10</v>
      </c>
      <c r="L743" t="s">
        <v>4329</v>
      </c>
      <c r="M743" t="s">
        <v>4279</v>
      </c>
      <c r="N743">
        <v>1663.2</v>
      </c>
      <c r="O743">
        <f t="shared" si="66"/>
        <v>1663.1999999999998</v>
      </c>
      <c r="P743" t="str">
        <f t="shared" si="67"/>
        <v>Jan</v>
      </c>
      <c r="Q743" t="str">
        <f t="shared" si="68"/>
        <v>Q1</v>
      </c>
      <c r="R743" s="5" t="str">
        <f t="shared" si="69"/>
        <v>Large</v>
      </c>
      <c r="S743" s="5" t="str">
        <f t="shared" si="70"/>
        <v>Completed</v>
      </c>
      <c r="T743" s="5" t="str">
        <f t="shared" si="71"/>
        <v>Yes</v>
      </c>
    </row>
    <row r="744" spans="1:20"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c r="O744">
        <f t="shared" si="66"/>
        <v>2099.79</v>
      </c>
      <c r="P744" t="str">
        <f t="shared" si="67"/>
        <v>Nov</v>
      </c>
      <c r="Q744" t="str">
        <f t="shared" si="68"/>
        <v>Q4</v>
      </c>
      <c r="R744" s="5" t="str">
        <f t="shared" si="69"/>
        <v>Large</v>
      </c>
      <c r="S744" s="5" t="str">
        <f t="shared" si="70"/>
        <v>Pending</v>
      </c>
      <c r="T744" s="5" t="str">
        <f t="shared" si="71"/>
        <v>Yes</v>
      </c>
    </row>
    <row r="745" spans="1:20"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c r="O745">
        <f t="shared" si="66"/>
        <v>576.35</v>
      </c>
      <c r="P745" t="str">
        <f t="shared" si="67"/>
        <v>Sep</v>
      </c>
      <c r="Q745" t="str">
        <f t="shared" si="68"/>
        <v>Q3</v>
      </c>
      <c r="R745" s="5" t="str">
        <f t="shared" si="69"/>
        <v>Large</v>
      </c>
      <c r="S745" s="5" t="str">
        <f t="shared" si="70"/>
        <v>Pending</v>
      </c>
      <c r="T745" s="5" t="str">
        <f t="shared" si="71"/>
        <v>Yes</v>
      </c>
    </row>
    <row r="746" spans="1:20"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c r="O746">
        <f t="shared" si="66"/>
        <v>922.74</v>
      </c>
      <c r="P746" t="str">
        <f t="shared" si="67"/>
        <v>Jun</v>
      </c>
      <c r="Q746" t="str">
        <f t="shared" si="68"/>
        <v>Q2</v>
      </c>
      <c r="R746" s="5" t="str">
        <f t="shared" si="69"/>
        <v>Large</v>
      </c>
      <c r="S746" s="5" t="str">
        <f t="shared" si="70"/>
        <v>Completed</v>
      </c>
      <c r="T746" s="5" t="str">
        <f t="shared" si="71"/>
        <v>Yes</v>
      </c>
    </row>
    <row r="747" spans="1:20"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c r="O747">
        <f t="shared" si="66"/>
        <v>445.2</v>
      </c>
      <c r="P747" t="str">
        <f t="shared" si="67"/>
        <v>Mar</v>
      </c>
      <c r="Q747" t="str">
        <f t="shared" si="68"/>
        <v>Q1</v>
      </c>
      <c r="R747" s="5" t="str">
        <f t="shared" si="69"/>
        <v>Medium</v>
      </c>
      <c r="S747" s="5" t="str">
        <f t="shared" si="70"/>
        <v>Pending</v>
      </c>
      <c r="T747" s="5" t="str">
        <f t="shared" si="71"/>
        <v>Yes</v>
      </c>
    </row>
    <row r="748" spans="1:20"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c r="O748">
        <f t="shared" si="66"/>
        <v>1985.67</v>
      </c>
      <c r="P748" t="str">
        <f t="shared" si="67"/>
        <v>Feb</v>
      </c>
      <c r="Q748" t="str">
        <f t="shared" si="68"/>
        <v>Q1</v>
      </c>
      <c r="R748" s="5" t="str">
        <f t="shared" si="69"/>
        <v>Large</v>
      </c>
      <c r="S748" s="5" t="str">
        <f t="shared" si="70"/>
        <v>Pending</v>
      </c>
      <c r="T748" s="5" t="str">
        <f t="shared" si="71"/>
        <v>Yes</v>
      </c>
    </row>
    <row r="749" spans="1:20"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c r="O749">
        <f t="shared" si="66"/>
        <v>519.16</v>
      </c>
      <c r="P749" t="str">
        <f t="shared" si="67"/>
        <v>Mar</v>
      </c>
      <c r="Q749" t="str">
        <f t="shared" si="68"/>
        <v>Q1</v>
      </c>
      <c r="R749" s="5" t="str">
        <f t="shared" si="69"/>
        <v>Large</v>
      </c>
      <c r="S749" s="5" t="str">
        <f t="shared" si="70"/>
        <v>Completed</v>
      </c>
      <c r="T749" s="5" t="str">
        <f t="shared" si="71"/>
        <v>Yes</v>
      </c>
    </row>
    <row r="750" spans="1:20"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c r="O750">
        <f t="shared" si="66"/>
        <v>212.43</v>
      </c>
      <c r="P750" t="str">
        <f t="shared" si="67"/>
        <v>Jul</v>
      </c>
      <c r="Q750" t="str">
        <f t="shared" si="68"/>
        <v>Q3</v>
      </c>
      <c r="R750" s="5" t="str">
        <f t="shared" si="69"/>
        <v>Medium</v>
      </c>
      <c r="S750" s="5" t="str">
        <f t="shared" si="70"/>
        <v>Pending</v>
      </c>
      <c r="T750" s="5" t="str">
        <f t="shared" si="71"/>
        <v>Yes</v>
      </c>
    </row>
    <row r="751" spans="1:20"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c r="O751">
        <f t="shared" si="66"/>
        <v>518.39</v>
      </c>
      <c r="P751" t="str">
        <f t="shared" si="67"/>
        <v>Apr</v>
      </c>
      <c r="Q751" t="str">
        <f t="shared" si="68"/>
        <v>Q2</v>
      </c>
      <c r="R751" s="5" t="str">
        <f t="shared" si="69"/>
        <v>Large</v>
      </c>
      <c r="S751" s="5" t="str">
        <f t="shared" si="70"/>
        <v>Pending</v>
      </c>
      <c r="T751" s="5" t="str">
        <f t="shared" si="71"/>
        <v>Yes</v>
      </c>
    </row>
    <row r="752" spans="1:20"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c r="O752">
        <f t="shared" si="66"/>
        <v>581.64</v>
      </c>
      <c r="P752" t="str">
        <f t="shared" si="67"/>
        <v>Jan</v>
      </c>
      <c r="Q752" t="str">
        <f t="shared" si="68"/>
        <v>Q1</v>
      </c>
      <c r="R752" s="5" t="str">
        <f t="shared" si="69"/>
        <v>Large</v>
      </c>
      <c r="S752" s="5" t="str">
        <f t="shared" si="70"/>
        <v>Pending</v>
      </c>
      <c r="T752" s="5" t="str">
        <f t="shared" si="71"/>
        <v>Yes</v>
      </c>
    </row>
    <row r="753" spans="1:20"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c r="O753">
        <f t="shared" si="66"/>
        <v>1199.72</v>
      </c>
      <c r="P753" t="str">
        <f t="shared" si="67"/>
        <v>Jan</v>
      </c>
      <c r="Q753" t="str">
        <f t="shared" si="68"/>
        <v>Q1</v>
      </c>
      <c r="R753" s="5" t="str">
        <f t="shared" si="69"/>
        <v>Large</v>
      </c>
      <c r="S753" s="5" t="str">
        <f t="shared" si="70"/>
        <v>Pending</v>
      </c>
      <c r="T753" s="5" t="str">
        <f t="shared" si="71"/>
        <v>Yes</v>
      </c>
    </row>
    <row r="754" spans="1:20"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c r="O754">
        <f t="shared" si="66"/>
        <v>1717.48</v>
      </c>
      <c r="P754" t="str">
        <f t="shared" si="67"/>
        <v>Oct</v>
      </c>
      <c r="Q754" t="str">
        <f t="shared" si="68"/>
        <v>Q4</v>
      </c>
      <c r="R754" s="5" t="str">
        <f t="shared" si="69"/>
        <v>Large</v>
      </c>
      <c r="S754" s="5" t="str">
        <f t="shared" si="70"/>
        <v>Completed</v>
      </c>
      <c r="T754" s="5" t="str">
        <f t="shared" si="71"/>
        <v>Yes</v>
      </c>
    </row>
    <row r="755" spans="1:20"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c r="O755">
        <f t="shared" si="66"/>
        <v>482.98</v>
      </c>
      <c r="P755" t="str">
        <f t="shared" si="67"/>
        <v>Apr</v>
      </c>
      <c r="Q755" t="str">
        <f t="shared" si="68"/>
        <v>Q2</v>
      </c>
      <c r="R755" s="5" t="str">
        <f t="shared" si="69"/>
        <v>Medium</v>
      </c>
      <c r="S755" s="5" t="str">
        <f t="shared" si="70"/>
        <v>Pending</v>
      </c>
      <c r="T755" s="5" t="str">
        <f t="shared" si="71"/>
        <v>Yes</v>
      </c>
    </row>
    <row r="756" spans="1:20"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c r="O756">
        <f t="shared" si="66"/>
        <v>904.1</v>
      </c>
      <c r="P756" t="str">
        <f t="shared" si="67"/>
        <v>May</v>
      </c>
      <c r="Q756" t="str">
        <f t="shared" si="68"/>
        <v>Q2</v>
      </c>
      <c r="R756" s="5" t="str">
        <f t="shared" si="69"/>
        <v>Large</v>
      </c>
      <c r="S756" s="5" t="str">
        <f t="shared" si="70"/>
        <v>Pending</v>
      </c>
      <c r="T756" s="5" t="str">
        <f t="shared" si="71"/>
        <v>Yes</v>
      </c>
    </row>
    <row r="757" spans="1:20" x14ac:dyDescent="0.35">
      <c r="A757" t="s">
        <v>769</v>
      </c>
      <c r="B757" s="2">
        <v>45090</v>
      </c>
      <c r="C757" t="s">
        <v>1966</v>
      </c>
      <c r="D757" t="s">
        <v>2409</v>
      </c>
      <c r="E757">
        <v>3</v>
      </c>
      <c r="F757">
        <v>336.71</v>
      </c>
      <c r="G757" t="s">
        <v>2909</v>
      </c>
      <c r="H757" t="s">
        <v>3067</v>
      </c>
      <c r="I757" t="s">
        <v>3074</v>
      </c>
      <c r="J757" t="s">
        <v>3830</v>
      </c>
      <c r="K757">
        <v>4</v>
      </c>
      <c r="L757" t="s">
        <v>4329</v>
      </c>
      <c r="M757" t="s">
        <v>4280</v>
      </c>
      <c r="N757">
        <v>1010.13</v>
      </c>
      <c r="O757">
        <f t="shared" si="66"/>
        <v>1010.1299999999999</v>
      </c>
      <c r="P757" t="str">
        <f t="shared" si="67"/>
        <v>Jun</v>
      </c>
      <c r="Q757" t="str">
        <f t="shared" si="68"/>
        <v>Q2</v>
      </c>
      <c r="R757" s="5" t="str">
        <f t="shared" si="69"/>
        <v>Large</v>
      </c>
      <c r="S757" s="5" t="str">
        <f t="shared" si="70"/>
        <v>Pending</v>
      </c>
      <c r="T757" s="5" t="str">
        <f t="shared" si="71"/>
        <v>Yes</v>
      </c>
    </row>
    <row r="758" spans="1:20" x14ac:dyDescent="0.35">
      <c r="A758" t="s">
        <v>770</v>
      </c>
      <c r="B758" s="2">
        <v>45470</v>
      </c>
      <c r="C758" t="s">
        <v>1967</v>
      </c>
      <c r="D758" t="s">
        <v>2404</v>
      </c>
      <c r="E758">
        <v>1</v>
      </c>
      <c r="F758">
        <v>283.69</v>
      </c>
      <c r="G758" t="s">
        <v>2464</v>
      </c>
      <c r="H758" t="s">
        <v>3068</v>
      </c>
      <c r="I758" t="s">
        <v>3070</v>
      </c>
      <c r="J758" t="s">
        <v>3831</v>
      </c>
      <c r="K758">
        <v>6</v>
      </c>
      <c r="L758" t="s">
        <v>4329</v>
      </c>
      <c r="M758" t="s">
        <v>4282</v>
      </c>
      <c r="N758">
        <v>283.69</v>
      </c>
      <c r="O758">
        <f t="shared" si="66"/>
        <v>283.69</v>
      </c>
      <c r="P758" t="str">
        <f t="shared" si="67"/>
        <v>Jun</v>
      </c>
      <c r="Q758" t="str">
        <f t="shared" si="68"/>
        <v>Q2</v>
      </c>
      <c r="R758" s="5" t="str">
        <f t="shared" si="69"/>
        <v>Medium</v>
      </c>
      <c r="S758" s="5" t="str">
        <f t="shared" si="70"/>
        <v>Pending</v>
      </c>
      <c r="T758" s="5" t="str">
        <f t="shared" si="71"/>
        <v>Yes</v>
      </c>
    </row>
    <row r="759" spans="1:20"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c r="O759">
        <f t="shared" si="66"/>
        <v>157.72</v>
      </c>
      <c r="P759" t="str">
        <f t="shared" si="67"/>
        <v>Feb</v>
      </c>
      <c r="Q759" t="str">
        <f t="shared" si="68"/>
        <v>Q1</v>
      </c>
      <c r="R759" s="5" t="str">
        <f t="shared" si="69"/>
        <v>Medium</v>
      </c>
      <c r="S759" s="5" t="str">
        <f t="shared" si="70"/>
        <v>Completed</v>
      </c>
      <c r="T759" s="5" t="str">
        <f t="shared" si="71"/>
        <v>Yes</v>
      </c>
    </row>
    <row r="760" spans="1:20"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c r="O760">
        <f t="shared" si="66"/>
        <v>1874.52</v>
      </c>
      <c r="P760" t="str">
        <f t="shared" si="67"/>
        <v>Mar</v>
      </c>
      <c r="Q760" t="str">
        <f t="shared" si="68"/>
        <v>Q1</v>
      </c>
      <c r="R760" s="5" t="str">
        <f t="shared" si="69"/>
        <v>Large</v>
      </c>
      <c r="S760" s="5" t="str">
        <f t="shared" si="70"/>
        <v>Pending</v>
      </c>
      <c r="T760" s="5" t="str">
        <f t="shared" si="71"/>
        <v>Yes</v>
      </c>
    </row>
    <row r="761" spans="1:20"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c r="O761">
        <f t="shared" si="66"/>
        <v>924.03</v>
      </c>
      <c r="P761" t="str">
        <f t="shared" si="67"/>
        <v>Jul</v>
      </c>
      <c r="Q761" t="str">
        <f t="shared" si="68"/>
        <v>Q3</v>
      </c>
      <c r="R761" s="5" t="str">
        <f t="shared" si="69"/>
        <v>Large</v>
      </c>
      <c r="S761" s="5" t="str">
        <f t="shared" si="70"/>
        <v>Pending</v>
      </c>
      <c r="T761" s="5" t="str">
        <f t="shared" si="71"/>
        <v>Yes</v>
      </c>
    </row>
    <row r="762" spans="1:20" x14ac:dyDescent="0.35">
      <c r="A762" t="s">
        <v>774</v>
      </c>
      <c r="B762" s="2">
        <v>45706</v>
      </c>
      <c r="C762" t="s">
        <v>1971</v>
      </c>
      <c r="D762" t="s">
        <v>2409</v>
      </c>
      <c r="E762">
        <v>1</v>
      </c>
      <c r="F762">
        <v>39.56</v>
      </c>
      <c r="G762" t="s">
        <v>2570</v>
      </c>
      <c r="H762" t="s">
        <v>3065</v>
      </c>
      <c r="I762" t="s">
        <v>3071</v>
      </c>
      <c r="J762" t="s">
        <v>3835</v>
      </c>
      <c r="K762">
        <v>5</v>
      </c>
      <c r="L762" t="s">
        <v>4329</v>
      </c>
      <c r="M762" t="s">
        <v>4282</v>
      </c>
      <c r="N762">
        <v>39.56</v>
      </c>
      <c r="O762">
        <f t="shared" si="66"/>
        <v>39.56</v>
      </c>
      <c r="P762" t="str">
        <f t="shared" si="67"/>
        <v>Feb</v>
      </c>
      <c r="Q762" t="str">
        <f t="shared" si="68"/>
        <v>Q1</v>
      </c>
      <c r="R762" s="5" t="str">
        <f t="shared" si="69"/>
        <v>Small</v>
      </c>
      <c r="S762" s="5" t="str">
        <f t="shared" si="70"/>
        <v>Pending</v>
      </c>
      <c r="T762" s="5" t="str">
        <f t="shared" si="71"/>
        <v>Yes</v>
      </c>
    </row>
    <row r="763" spans="1:20" x14ac:dyDescent="0.35">
      <c r="A763" t="s">
        <v>775</v>
      </c>
      <c r="B763" s="2">
        <v>45079</v>
      </c>
      <c r="C763" t="s">
        <v>1972</v>
      </c>
      <c r="D763" t="s">
        <v>2409</v>
      </c>
      <c r="E763">
        <v>4</v>
      </c>
      <c r="F763">
        <v>37.76</v>
      </c>
      <c r="G763" t="s">
        <v>2911</v>
      </c>
      <c r="H763" t="s">
        <v>3065</v>
      </c>
      <c r="I763" t="s">
        <v>3073</v>
      </c>
      <c r="J763" t="s">
        <v>3836</v>
      </c>
      <c r="K763">
        <v>7</v>
      </c>
      <c r="L763" t="s">
        <v>4329</v>
      </c>
      <c r="M763" t="s">
        <v>4282</v>
      </c>
      <c r="N763">
        <v>151.04</v>
      </c>
      <c r="O763">
        <f t="shared" si="66"/>
        <v>151.04</v>
      </c>
      <c r="P763" t="str">
        <f t="shared" si="67"/>
        <v>Jun</v>
      </c>
      <c r="Q763" t="str">
        <f t="shared" si="68"/>
        <v>Q2</v>
      </c>
      <c r="R763" s="5" t="str">
        <f t="shared" si="69"/>
        <v>Medium</v>
      </c>
      <c r="S763" s="5" t="str">
        <f t="shared" si="70"/>
        <v>Completed</v>
      </c>
      <c r="T763" s="5" t="str">
        <f t="shared" si="71"/>
        <v>Yes</v>
      </c>
    </row>
    <row r="764" spans="1:20"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c r="O764">
        <f t="shared" si="66"/>
        <v>230.88</v>
      </c>
      <c r="P764" t="str">
        <f t="shared" si="67"/>
        <v>Sep</v>
      </c>
      <c r="Q764" t="str">
        <f t="shared" si="68"/>
        <v>Q3</v>
      </c>
      <c r="R764" s="5" t="str">
        <f t="shared" si="69"/>
        <v>Medium</v>
      </c>
      <c r="S764" s="5" t="str">
        <f t="shared" si="70"/>
        <v>Pending</v>
      </c>
      <c r="T764" s="5" t="str">
        <f t="shared" si="71"/>
        <v>Yes</v>
      </c>
    </row>
    <row r="765" spans="1:20"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c r="O765">
        <f t="shared" si="66"/>
        <v>569.96</v>
      </c>
      <c r="P765" t="str">
        <f t="shared" si="67"/>
        <v>Apr</v>
      </c>
      <c r="Q765" t="str">
        <f t="shared" si="68"/>
        <v>Q2</v>
      </c>
      <c r="R765" s="5" t="str">
        <f t="shared" si="69"/>
        <v>Large</v>
      </c>
      <c r="S765" s="5" t="str">
        <f t="shared" si="70"/>
        <v>Completed</v>
      </c>
      <c r="T765" s="5" t="str">
        <f t="shared" si="71"/>
        <v>Yes</v>
      </c>
    </row>
    <row r="766" spans="1:20"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c r="O766">
        <f t="shared" si="66"/>
        <v>3137.1499999999996</v>
      </c>
      <c r="P766" t="str">
        <f t="shared" si="67"/>
        <v>Mar</v>
      </c>
      <c r="Q766" t="str">
        <f t="shared" si="68"/>
        <v>Q1</v>
      </c>
      <c r="R766" s="5" t="str">
        <f t="shared" si="69"/>
        <v>Large</v>
      </c>
      <c r="S766" s="5" t="str">
        <f t="shared" si="70"/>
        <v>Pending</v>
      </c>
      <c r="T766" s="5" t="str">
        <f t="shared" si="71"/>
        <v>Yes</v>
      </c>
    </row>
    <row r="767" spans="1:20"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c r="O767">
        <f t="shared" si="66"/>
        <v>1069.82</v>
      </c>
      <c r="P767" t="str">
        <f t="shared" si="67"/>
        <v>Oct</v>
      </c>
      <c r="Q767" t="str">
        <f t="shared" si="68"/>
        <v>Q4</v>
      </c>
      <c r="R767" s="5" t="str">
        <f t="shared" si="69"/>
        <v>Large</v>
      </c>
      <c r="S767" s="5" t="str">
        <f t="shared" si="70"/>
        <v>Pending</v>
      </c>
      <c r="T767" s="5" t="str">
        <f t="shared" si="71"/>
        <v>Yes</v>
      </c>
    </row>
    <row r="768" spans="1:20"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c r="O768">
        <f t="shared" si="66"/>
        <v>557.76</v>
      </c>
      <c r="P768" t="str">
        <f t="shared" si="67"/>
        <v>Jan</v>
      </c>
      <c r="Q768" t="str">
        <f t="shared" si="68"/>
        <v>Q1</v>
      </c>
      <c r="R768" s="5" t="str">
        <f t="shared" si="69"/>
        <v>Large</v>
      </c>
      <c r="S768" s="5" t="str">
        <f t="shared" si="70"/>
        <v>Pending</v>
      </c>
      <c r="T768" s="5" t="str">
        <f t="shared" si="71"/>
        <v>Yes</v>
      </c>
    </row>
    <row r="769" spans="1:20" x14ac:dyDescent="0.35">
      <c r="A769" t="s">
        <v>781</v>
      </c>
      <c r="B769" s="2">
        <v>45765</v>
      </c>
      <c r="C769" t="s">
        <v>1978</v>
      </c>
      <c r="D769" t="s">
        <v>2405</v>
      </c>
      <c r="E769">
        <v>2</v>
      </c>
      <c r="F769">
        <v>323.22000000000003</v>
      </c>
      <c r="G769" t="s">
        <v>2912</v>
      </c>
      <c r="H769" t="s">
        <v>3067</v>
      </c>
      <c r="I769" t="s">
        <v>3073</v>
      </c>
      <c r="J769" t="s">
        <v>3842</v>
      </c>
      <c r="K769">
        <v>7</v>
      </c>
      <c r="L769" t="s">
        <v>4329</v>
      </c>
      <c r="M769" t="s">
        <v>4278</v>
      </c>
      <c r="N769">
        <v>646.44000000000005</v>
      </c>
      <c r="O769">
        <f t="shared" si="66"/>
        <v>646.44000000000005</v>
      </c>
      <c r="P769" t="str">
        <f t="shared" si="67"/>
        <v>Apr</v>
      </c>
      <c r="Q769" t="str">
        <f t="shared" si="68"/>
        <v>Q2</v>
      </c>
      <c r="R769" s="5" t="str">
        <f t="shared" si="69"/>
        <v>Large</v>
      </c>
      <c r="S769" s="5" t="str">
        <f t="shared" si="70"/>
        <v>Completed</v>
      </c>
      <c r="T769" s="5" t="str">
        <f t="shared" si="71"/>
        <v>Yes</v>
      </c>
    </row>
    <row r="770" spans="1:20"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c r="O770">
        <f t="shared" ref="O770:O833" si="72">E770*F770</f>
        <v>3267.3</v>
      </c>
      <c r="P770" t="str">
        <f t="shared" ref="P770:P833" si="73">TEXT(B770, "mmm")</f>
        <v>Sep</v>
      </c>
      <c r="Q770" t="str">
        <f t="shared" ref="Q770:Q833" si="74">"Q"&amp;ROUNDUP(MONTH(B770)/3,0)</f>
        <v>Q3</v>
      </c>
      <c r="R770" s="5" t="str">
        <f t="shared" ref="R770:R833" si="75">IF(N770&lt;100,"Small", IF(N770&lt;500, "Medium", "Large"))</f>
        <v>Large</v>
      </c>
      <c r="S770" s="5" t="str">
        <f t="shared" ref="S770:S833" si="76">IF(I770="Delivered","Completed","Pending")</f>
        <v>Pending</v>
      </c>
      <c r="T770" s="5" t="str">
        <f t="shared" ref="T770:T833" si="77">IF(L770="","No", "Yes")</f>
        <v>Yes</v>
      </c>
    </row>
    <row r="771" spans="1:20" x14ac:dyDescent="0.35">
      <c r="A771" t="s">
        <v>783</v>
      </c>
      <c r="B771" s="2">
        <v>45113</v>
      </c>
      <c r="C771" t="s">
        <v>1980</v>
      </c>
      <c r="D771" t="s">
        <v>2407</v>
      </c>
      <c r="E771">
        <v>4</v>
      </c>
      <c r="F771">
        <v>678.55</v>
      </c>
      <c r="G771" t="s">
        <v>2438</v>
      </c>
      <c r="H771" t="s">
        <v>3069</v>
      </c>
      <c r="I771" t="s">
        <v>3073</v>
      </c>
      <c r="J771" t="s">
        <v>3844</v>
      </c>
      <c r="K771">
        <v>5</v>
      </c>
      <c r="L771" t="s">
        <v>4329</v>
      </c>
      <c r="M771" t="s">
        <v>4280</v>
      </c>
      <c r="N771">
        <v>2714.2</v>
      </c>
      <c r="O771">
        <f t="shared" si="72"/>
        <v>2714.2</v>
      </c>
      <c r="P771" t="str">
        <f t="shared" si="73"/>
        <v>Jul</v>
      </c>
      <c r="Q771" t="str">
        <f t="shared" si="74"/>
        <v>Q3</v>
      </c>
      <c r="R771" s="5" t="str">
        <f t="shared" si="75"/>
        <v>Large</v>
      </c>
      <c r="S771" s="5" t="str">
        <f t="shared" si="76"/>
        <v>Completed</v>
      </c>
      <c r="T771" s="5" t="str">
        <f t="shared" si="77"/>
        <v>Yes</v>
      </c>
    </row>
    <row r="772" spans="1:20" x14ac:dyDescent="0.35">
      <c r="A772" t="s">
        <v>784</v>
      </c>
      <c r="B772" s="2">
        <v>45333</v>
      </c>
      <c r="C772" t="s">
        <v>1981</v>
      </c>
      <c r="D772" t="s">
        <v>2409</v>
      </c>
      <c r="E772">
        <v>1</v>
      </c>
      <c r="F772">
        <v>314.38</v>
      </c>
      <c r="G772" t="s">
        <v>2757</v>
      </c>
      <c r="H772" t="s">
        <v>3066</v>
      </c>
      <c r="I772" t="s">
        <v>3072</v>
      </c>
      <c r="J772" t="s">
        <v>3845</v>
      </c>
      <c r="K772">
        <v>6</v>
      </c>
      <c r="L772" t="s">
        <v>4329</v>
      </c>
      <c r="M772" t="s">
        <v>4282</v>
      </c>
      <c r="N772">
        <v>314.38</v>
      </c>
      <c r="O772">
        <f t="shared" si="72"/>
        <v>314.38</v>
      </c>
      <c r="P772" t="str">
        <f t="shared" si="73"/>
        <v>Feb</v>
      </c>
      <c r="Q772" t="str">
        <f t="shared" si="74"/>
        <v>Q1</v>
      </c>
      <c r="R772" s="5" t="str">
        <f t="shared" si="75"/>
        <v>Medium</v>
      </c>
      <c r="S772" s="5" t="str">
        <f t="shared" si="76"/>
        <v>Pending</v>
      </c>
      <c r="T772" s="5" t="str">
        <f t="shared" si="77"/>
        <v>Yes</v>
      </c>
    </row>
    <row r="773" spans="1:20"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c r="O773">
        <f t="shared" si="72"/>
        <v>2077.3200000000002</v>
      </c>
      <c r="P773" t="str">
        <f t="shared" si="73"/>
        <v>Jun</v>
      </c>
      <c r="Q773" t="str">
        <f t="shared" si="74"/>
        <v>Q2</v>
      </c>
      <c r="R773" s="5" t="str">
        <f t="shared" si="75"/>
        <v>Large</v>
      </c>
      <c r="S773" s="5" t="str">
        <f t="shared" si="76"/>
        <v>Pending</v>
      </c>
      <c r="T773" s="5" t="str">
        <f t="shared" si="77"/>
        <v>Yes</v>
      </c>
    </row>
    <row r="774" spans="1:20" x14ac:dyDescent="0.35">
      <c r="A774" t="s">
        <v>786</v>
      </c>
      <c r="B774" s="2">
        <v>45501</v>
      </c>
      <c r="C774" t="s">
        <v>1983</v>
      </c>
      <c r="D774" t="s">
        <v>2403</v>
      </c>
      <c r="E774">
        <v>1</v>
      </c>
      <c r="F774">
        <v>604.87</v>
      </c>
      <c r="G774" t="s">
        <v>2914</v>
      </c>
      <c r="H774" t="s">
        <v>3066</v>
      </c>
      <c r="I774" t="s">
        <v>3073</v>
      </c>
      <c r="J774" t="s">
        <v>3847</v>
      </c>
      <c r="K774">
        <v>4</v>
      </c>
      <c r="L774" t="s">
        <v>4329</v>
      </c>
      <c r="M774" t="s">
        <v>4278</v>
      </c>
      <c r="N774">
        <v>604.87</v>
      </c>
      <c r="O774">
        <f t="shared" si="72"/>
        <v>604.87</v>
      </c>
      <c r="P774" t="str">
        <f t="shared" si="73"/>
        <v>Jul</v>
      </c>
      <c r="Q774" t="str">
        <f t="shared" si="74"/>
        <v>Q3</v>
      </c>
      <c r="R774" s="5" t="str">
        <f t="shared" si="75"/>
        <v>Large</v>
      </c>
      <c r="S774" s="5" t="str">
        <f t="shared" si="76"/>
        <v>Completed</v>
      </c>
      <c r="T774" s="5" t="str">
        <f t="shared" si="77"/>
        <v>Yes</v>
      </c>
    </row>
    <row r="775" spans="1:20" x14ac:dyDescent="0.35">
      <c r="A775" t="s">
        <v>787</v>
      </c>
      <c r="B775" s="2">
        <v>45836</v>
      </c>
      <c r="C775" t="s">
        <v>1984</v>
      </c>
      <c r="D775" t="s">
        <v>2404</v>
      </c>
      <c r="E775">
        <v>2</v>
      </c>
      <c r="F775">
        <v>512.33000000000004</v>
      </c>
      <c r="G775" t="s">
        <v>2915</v>
      </c>
      <c r="H775" t="s">
        <v>3069</v>
      </c>
      <c r="I775" t="s">
        <v>3071</v>
      </c>
      <c r="J775" t="s">
        <v>3848</v>
      </c>
      <c r="K775">
        <v>7</v>
      </c>
      <c r="L775" t="s">
        <v>4329</v>
      </c>
      <c r="M775" t="s">
        <v>4281</v>
      </c>
      <c r="N775">
        <v>1024.6600000000001</v>
      </c>
      <c r="O775">
        <f t="shared" si="72"/>
        <v>1024.6600000000001</v>
      </c>
      <c r="P775" t="str">
        <f t="shared" si="73"/>
        <v>Jun</v>
      </c>
      <c r="Q775" t="str">
        <f t="shared" si="74"/>
        <v>Q2</v>
      </c>
      <c r="R775" s="5" t="str">
        <f t="shared" si="75"/>
        <v>Large</v>
      </c>
      <c r="S775" s="5" t="str">
        <f t="shared" si="76"/>
        <v>Pending</v>
      </c>
      <c r="T775" s="5" t="str">
        <f t="shared" si="77"/>
        <v>Yes</v>
      </c>
    </row>
    <row r="776" spans="1:20"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c r="O776">
        <f t="shared" si="72"/>
        <v>61.62</v>
      </c>
      <c r="P776" t="str">
        <f t="shared" si="73"/>
        <v>Apr</v>
      </c>
      <c r="Q776" t="str">
        <f t="shared" si="74"/>
        <v>Q2</v>
      </c>
      <c r="R776" s="5" t="str">
        <f t="shared" si="75"/>
        <v>Small</v>
      </c>
      <c r="S776" s="5" t="str">
        <f t="shared" si="76"/>
        <v>Pending</v>
      </c>
      <c r="T776" s="5" t="str">
        <f t="shared" si="77"/>
        <v>Yes</v>
      </c>
    </row>
    <row r="777" spans="1:20" x14ac:dyDescent="0.35">
      <c r="A777" t="s">
        <v>789</v>
      </c>
      <c r="B777" s="2">
        <v>44989</v>
      </c>
      <c r="C777" t="s">
        <v>1986</v>
      </c>
      <c r="D777" t="s">
        <v>2404</v>
      </c>
      <c r="E777">
        <v>2</v>
      </c>
      <c r="F777">
        <v>625.22</v>
      </c>
      <c r="G777" t="s">
        <v>2431</v>
      </c>
      <c r="H777" t="s">
        <v>3066</v>
      </c>
      <c r="I777" t="s">
        <v>3071</v>
      </c>
      <c r="J777" t="s">
        <v>3850</v>
      </c>
      <c r="K777">
        <v>5</v>
      </c>
      <c r="L777" t="s">
        <v>4329</v>
      </c>
      <c r="M777" t="s">
        <v>4282</v>
      </c>
      <c r="N777">
        <v>1250.44</v>
      </c>
      <c r="O777">
        <f t="shared" si="72"/>
        <v>1250.44</v>
      </c>
      <c r="P777" t="str">
        <f t="shared" si="73"/>
        <v>Mar</v>
      </c>
      <c r="Q777" t="str">
        <f t="shared" si="74"/>
        <v>Q1</v>
      </c>
      <c r="R777" s="5" t="str">
        <f t="shared" si="75"/>
        <v>Large</v>
      </c>
      <c r="S777" s="5" t="str">
        <f t="shared" si="76"/>
        <v>Pending</v>
      </c>
      <c r="T777" s="5" t="str">
        <f t="shared" si="77"/>
        <v>Yes</v>
      </c>
    </row>
    <row r="778" spans="1:20"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c r="O778">
        <f t="shared" si="72"/>
        <v>21.19</v>
      </c>
      <c r="P778" t="str">
        <f t="shared" si="73"/>
        <v>Aug</v>
      </c>
      <c r="Q778" t="str">
        <f t="shared" si="74"/>
        <v>Q3</v>
      </c>
      <c r="R778" s="5" t="str">
        <f t="shared" si="75"/>
        <v>Small</v>
      </c>
      <c r="S778" s="5" t="str">
        <f t="shared" si="76"/>
        <v>Pending</v>
      </c>
      <c r="T778" s="5" t="str">
        <f t="shared" si="77"/>
        <v>Yes</v>
      </c>
    </row>
    <row r="779" spans="1:20" x14ac:dyDescent="0.35">
      <c r="A779" t="s">
        <v>791</v>
      </c>
      <c r="B779" s="2">
        <v>45737</v>
      </c>
      <c r="C779" t="s">
        <v>1988</v>
      </c>
      <c r="D779" t="s">
        <v>2406</v>
      </c>
      <c r="E779">
        <v>5</v>
      </c>
      <c r="F779">
        <v>64.489999999999995</v>
      </c>
      <c r="G779" t="s">
        <v>2432</v>
      </c>
      <c r="H779" t="s">
        <v>3066</v>
      </c>
      <c r="I779" t="s">
        <v>3071</v>
      </c>
      <c r="J779" t="s">
        <v>3852</v>
      </c>
      <c r="K779">
        <v>7</v>
      </c>
      <c r="L779" t="s">
        <v>4329</v>
      </c>
      <c r="M779" t="s">
        <v>4281</v>
      </c>
      <c r="N779">
        <v>322.45</v>
      </c>
      <c r="O779">
        <f t="shared" si="72"/>
        <v>322.45</v>
      </c>
      <c r="P779" t="str">
        <f t="shared" si="73"/>
        <v>Mar</v>
      </c>
      <c r="Q779" t="str">
        <f t="shared" si="74"/>
        <v>Q1</v>
      </c>
      <c r="R779" s="5" t="str">
        <f t="shared" si="75"/>
        <v>Medium</v>
      </c>
      <c r="S779" s="5" t="str">
        <f t="shared" si="76"/>
        <v>Pending</v>
      </c>
      <c r="T779" s="5" t="str">
        <f t="shared" si="77"/>
        <v>Yes</v>
      </c>
    </row>
    <row r="780" spans="1:20"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c r="O780">
        <f t="shared" si="72"/>
        <v>987.4</v>
      </c>
      <c r="P780" t="str">
        <f t="shared" si="73"/>
        <v>Apr</v>
      </c>
      <c r="Q780" t="str">
        <f t="shared" si="74"/>
        <v>Q2</v>
      </c>
      <c r="R780" s="5" t="str">
        <f t="shared" si="75"/>
        <v>Large</v>
      </c>
      <c r="S780" s="5" t="str">
        <f t="shared" si="76"/>
        <v>Pending</v>
      </c>
      <c r="T780" s="5" t="str">
        <f t="shared" si="77"/>
        <v>Yes</v>
      </c>
    </row>
    <row r="781" spans="1:20"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c r="O781">
        <f t="shared" si="72"/>
        <v>1766.22</v>
      </c>
      <c r="P781" t="str">
        <f t="shared" si="73"/>
        <v>Dec</v>
      </c>
      <c r="Q781" t="str">
        <f t="shared" si="74"/>
        <v>Q4</v>
      </c>
      <c r="R781" s="5" t="str">
        <f t="shared" si="75"/>
        <v>Large</v>
      </c>
      <c r="S781" s="5" t="str">
        <f t="shared" si="76"/>
        <v>Pending</v>
      </c>
      <c r="T781" s="5" t="str">
        <f t="shared" si="77"/>
        <v>Yes</v>
      </c>
    </row>
    <row r="782" spans="1:20"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c r="O782">
        <f t="shared" si="72"/>
        <v>737.92</v>
      </c>
      <c r="P782" t="str">
        <f t="shared" si="73"/>
        <v>Mar</v>
      </c>
      <c r="Q782" t="str">
        <f t="shared" si="74"/>
        <v>Q1</v>
      </c>
      <c r="R782" s="5" t="str">
        <f t="shared" si="75"/>
        <v>Large</v>
      </c>
      <c r="S782" s="5" t="str">
        <f t="shared" si="76"/>
        <v>Pending</v>
      </c>
      <c r="T782" s="5" t="str">
        <f t="shared" si="77"/>
        <v>Yes</v>
      </c>
    </row>
    <row r="783" spans="1:20"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c r="O783">
        <f t="shared" si="72"/>
        <v>2621.3000000000002</v>
      </c>
      <c r="P783" t="str">
        <f t="shared" si="73"/>
        <v>Jan</v>
      </c>
      <c r="Q783" t="str">
        <f t="shared" si="74"/>
        <v>Q1</v>
      </c>
      <c r="R783" s="5" t="str">
        <f t="shared" si="75"/>
        <v>Large</v>
      </c>
      <c r="S783" s="5" t="str">
        <f t="shared" si="76"/>
        <v>Completed</v>
      </c>
      <c r="T783" s="5" t="str">
        <f t="shared" si="77"/>
        <v>Yes</v>
      </c>
    </row>
    <row r="784" spans="1:20"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c r="O784">
        <f t="shared" si="72"/>
        <v>987.26</v>
      </c>
      <c r="P784" t="str">
        <f t="shared" si="73"/>
        <v>Aug</v>
      </c>
      <c r="Q784" t="str">
        <f t="shared" si="74"/>
        <v>Q3</v>
      </c>
      <c r="R784" s="5" t="str">
        <f t="shared" si="75"/>
        <v>Large</v>
      </c>
      <c r="S784" s="5" t="str">
        <f t="shared" si="76"/>
        <v>Pending</v>
      </c>
      <c r="T784" s="5" t="str">
        <f t="shared" si="77"/>
        <v>Yes</v>
      </c>
    </row>
    <row r="785" spans="1:20"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c r="O785">
        <f t="shared" si="72"/>
        <v>438.34</v>
      </c>
      <c r="P785" t="str">
        <f t="shared" si="73"/>
        <v>May</v>
      </c>
      <c r="Q785" t="str">
        <f t="shared" si="74"/>
        <v>Q2</v>
      </c>
      <c r="R785" s="5" t="str">
        <f t="shared" si="75"/>
        <v>Medium</v>
      </c>
      <c r="S785" s="5" t="str">
        <f t="shared" si="76"/>
        <v>Pending</v>
      </c>
      <c r="T785" s="5" t="str">
        <f t="shared" si="77"/>
        <v>Yes</v>
      </c>
    </row>
    <row r="786" spans="1:20"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c r="O786">
        <f t="shared" si="72"/>
        <v>325.81</v>
      </c>
      <c r="P786" t="str">
        <f t="shared" si="73"/>
        <v>May</v>
      </c>
      <c r="Q786" t="str">
        <f t="shared" si="74"/>
        <v>Q2</v>
      </c>
      <c r="R786" s="5" t="str">
        <f t="shared" si="75"/>
        <v>Medium</v>
      </c>
      <c r="S786" s="5" t="str">
        <f t="shared" si="76"/>
        <v>Pending</v>
      </c>
      <c r="T786" s="5" t="str">
        <f t="shared" si="77"/>
        <v>Yes</v>
      </c>
    </row>
    <row r="787" spans="1:20"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c r="O787">
        <f t="shared" si="72"/>
        <v>176.1</v>
      </c>
      <c r="P787" t="str">
        <f t="shared" si="73"/>
        <v>Jul</v>
      </c>
      <c r="Q787" t="str">
        <f t="shared" si="74"/>
        <v>Q3</v>
      </c>
      <c r="R787" s="5" t="str">
        <f t="shared" si="75"/>
        <v>Medium</v>
      </c>
      <c r="S787" s="5" t="str">
        <f t="shared" si="76"/>
        <v>Pending</v>
      </c>
      <c r="T787" s="5" t="str">
        <f t="shared" si="77"/>
        <v>Yes</v>
      </c>
    </row>
    <row r="788" spans="1:20" x14ac:dyDescent="0.35">
      <c r="A788" t="s">
        <v>800</v>
      </c>
      <c r="B788" s="2">
        <v>45161</v>
      </c>
      <c r="C788" t="s">
        <v>1997</v>
      </c>
      <c r="D788" t="s">
        <v>2406</v>
      </c>
      <c r="E788">
        <v>5</v>
      </c>
      <c r="F788">
        <v>45.31</v>
      </c>
      <c r="G788" t="s">
        <v>2921</v>
      </c>
      <c r="H788" t="s">
        <v>3066</v>
      </c>
      <c r="I788" t="s">
        <v>3071</v>
      </c>
      <c r="J788" t="s">
        <v>3861</v>
      </c>
      <c r="K788">
        <v>8</v>
      </c>
      <c r="L788" t="s">
        <v>4329</v>
      </c>
      <c r="M788" t="s">
        <v>4279</v>
      </c>
      <c r="N788">
        <v>226.55</v>
      </c>
      <c r="O788">
        <f t="shared" si="72"/>
        <v>226.55</v>
      </c>
      <c r="P788" t="str">
        <f t="shared" si="73"/>
        <v>Aug</v>
      </c>
      <c r="Q788" t="str">
        <f t="shared" si="74"/>
        <v>Q3</v>
      </c>
      <c r="R788" s="5" t="str">
        <f t="shared" si="75"/>
        <v>Medium</v>
      </c>
      <c r="S788" s="5" t="str">
        <f t="shared" si="76"/>
        <v>Pending</v>
      </c>
      <c r="T788" s="5" t="str">
        <f t="shared" si="77"/>
        <v>Yes</v>
      </c>
    </row>
    <row r="789" spans="1:20" x14ac:dyDescent="0.35">
      <c r="A789" t="s">
        <v>801</v>
      </c>
      <c r="B789" s="2">
        <v>45368</v>
      </c>
      <c r="C789" t="s">
        <v>1998</v>
      </c>
      <c r="D789" t="s">
        <v>2409</v>
      </c>
      <c r="E789">
        <v>4</v>
      </c>
      <c r="F789">
        <v>221.96</v>
      </c>
      <c r="G789" t="s">
        <v>2922</v>
      </c>
      <c r="H789" t="s">
        <v>3069</v>
      </c>
      <c r="I789" t="s">
        <v>3073</v>
      </c>
      <c r="J789" t="s">
        <v>3862</v>
      </c>
      <c r="K789">
        <v>7</v>
      </c>
      <c r="L789" t="s">
        <v>4329</v>
      </c>
      <c r="M789" t="s">
        <v>4282</v>
      </c>
      <c r="N789">
        <v>887.84</v>
      </c>
      <c r="O789">
        <f t="shared" si="72"/>
        <v>887.84</v>
      </c>
      <c r="P789" t="str">
        <f t="shared" si="73"/>
        <v>Mar</v>
      </c>
      <c r="Q789" t="str">
        <f t="shared" si="74"/>
        <v>Q1</v>
      </c>
      <c r="R789" s="5" t="str">
        <f t="shared" si="75"/>
        <v>Large</v>
      </c>
      <c r="S789" s="5" t="str">
        <f t="shared" si="76"/>
        <v>Completed</v>
      </c>
      <c r="T789" s="5" t="str">
        <f t="shared" si="77"/>
        <v>Yes</v>
      </c>
    </row>
    <row r="790" spans="1:20"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c r="O790">
        <f t="shared" si="72"/>
        <v>1202.8599999999999</v>
      </c>
      <c r="P790" t="str">
        <f t="shared" si="73"/>
        <v>Nov</v>
      </c>
      <c r="Q790" t="str">
        <f t="shared" si="74"/>
        <v>Q4</v>
      </c>
      <c r="R790" s="5" t="str">
        <f t="shared" si="75"/>
        <v>Large</v>
      </c>
      <c r="S790" s="5" t="str">
        <f t="shared" si="76"/>
        <v>Pending</v>
      </c>
      <c r="T790" s="5" t="str">
        <f t="shared" si="77"/>
        <v>Yes</v>
      </c>
    </row>
    <row r="791" spans="1:20"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c r="O791">
        <f t="shared" si="72"/>
        <v>3456.3999999999996</v>
      </c>
      <c r="P791" t="str">
        <f t="shared" si="73"/>
        <v>Aug</v>
      </c>
      <c r="Q791" t="str">
        <f t="shared" si="74"/>
        <v>Q3</v>
      </c>
      <c r="R791" s="5" t="str">
        <f t="shared" si="75"/>
        <v>Large</v>
      </c>
      <c r="S791" s="5" t="str">
        <f t="shared" si="76"/>
        <v>Completed</v>
      </c>
      <c r="T791" s="5" t="str">
        <f t="shared" si="77"/>
        <v>Yes</v>
      </c>
    </row>
    <row r="792" spans="1:20" x14ac:dyDescent="0.35">
      <c r="A792" t="s">
        <v>804</v>
      </c>
      <c r="B792" s="2">
        <v>45549</v>
      </c>
      <c r="C792" t="s">
        <v>2001</v>
      </c>
      <c r="D792" t="s">
        <v>2408</v>
      </c>
      <c r="E792">
        <v>4</v>
      </c>
      <c r="F792">
        <v>417.89</v>
      </c>
      <c r="G792" t="s">
        <v>2925</v>
      </c>
      <c r="H792" t="s">
        <v>3068</v>
      </c>
      <c r="I792" t="s">
        <v>3074</v>
      </c>
      <c r="J792" t="s">
        <v>3865</v>
      </c>
      <c r="K792">
        <v>4</v>
      </c>
      <c r="L792" t="s">
        <v>4329</v>
      </c>
      <c r="M792" t="s">
        <v>4282</v>
      </c>
      <c r="N792">
        <v>1671.56</v>
      </c>
      <c r="O792">
        <f t="shared" si="72"/>
        <v>1671.56</v>
      </c>
      <c r="P792" t="str">
        <f t="shared" si="73"/>
        <v>Sep</v>
      </c>
      <c r="Q792" t="str">
        <f t="shared" si="74"/>
        <v>Q3</v>
      </c>
      <c r="R792" s="5" t="str">
        <f t="shared" si="75"/>
        <v>Large</v>
      </c>
      <c r="S792" s="5" t="str">
        <f t="shared" si="76"/>
        <v>Pending</v>
      </c>
      <c r="T792" s="5" t="str">
        <f t="shared" si="77"/>
        <v>Yes</v>
      </c>
    </row>
    <row r="793" spans="1:20" x14ac:dyDescent="0.35">
      <c r="A793" t="s">
        <v>805</v>
      </c>
      <c r="B793" s="2">
        <v>45304</v>
      </c>
      <c r="C793" t="s">
        <v>2002</v>
      </c>
      <c r="D793" t="s">
        <v>2406</v>
      </c>
      <c r="E793">
        <v>4</v>
      </c>
      <c r="F793">
        <v>409.28</v>
      </c>
      <c r="G793" t="s">
        <v>2434</v>
      </c>
      <c r="H793" t="s">
        <v>3069</v>
      </c>
      <c r="I793" t="s">
        <v>3074</v>
      </c>
      <c r="J793" t="s">
        <v>3866</v>
      </c>
      <c r="K793">
        <v>8</v>
      </c>
      <c r="L793" t="s">
        <v>4329</v>
      </c>
      <c r="M793" t="s">
        <v>4280</v>
      </c>
      <c r="N793">
        <v>1637.12</v>
      </c>
      <c r="O793">
        <f t="shared" si="72"/>
        <v>1637.12</v>
      </c>
      <c r="P793" t="str">
        <f t="shared" si="73"/>
        <v>Jan</v>
      </c>
      <c r="Q793" t="str">
        <f t="shared" si="74"/>
        <v>Q1</v>
      </c>
      <c r="R793" s="5" t="str">
        <f t="shared" si="75"/>
        <v>Large</v>
      </c>
      <c r="S793" s="5" t="str">
        <f t="shared" si="76"/>
        <v>Pending</v>
      </c>
      <c r="T793" s="5" t="str">
        <f t="shared" si="77"/>
        <v>Yes</v>
      </c>
    </row>
    <row r="794" spans="1:20"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c r="O794">
        <f t="shared" si="72"/>
        <v>712.7</v>
      </c>
      <c r="P794" t="str">
        <f t="shared" si="73"/>
        <v>Jun</v>
      </c>
      <c r="Q794" t="str">
        <f t="shared" si="74"/>
        <v>Q2</v>
      </c>
      <c r="R794" s="5" t="str">
        <f t="shared" si="75"/>
        <v>Large</v>
      </c>
      <c r="S794" s="5" t="str">
        <f t="shared" si="76"/>
        <v>Pending</v>
      </c>
      <c r="T794" s="5" t="str">
        <f t="shared" si="77"/>
        <v>Yes</v>
      </c>
    </row>
    <row r="795" spans="1:20" x14ac:dyDescent="0.35">
      <c r="A795" t="s">
        <v>807</v>
      </c>
      <c r="B795" s="2">
        <v>45397</v>
      </c>
      <c r="C795" t="s">
        <v>2004</v>
      </c>
      <c r="D795" t="s">
        <v>2406</v>
      </c>
      <c r="E795">
        <v>5</v>
      </c>
      <c r="F795">
        <v>170.22</v>
      </c>
      <c r="G795" t="s">
        <v>2745</v>
      </c>
      <c r="H795" t="s">
        <v>3065</v>
      </c>
      <c r="I795" t="s">
        <v>3073</v>
      </c>
      <c r="J795" t="s">
        <v>3868</v>
      </c>
      <c r="K795">
        <v>8</v>
      </c>
      <c r="L795" t="s">
        <v>4329</v>
      </c>
      <c r="M795" t="s">
        <v>4279</v>
      </c>
      <c r="N795">
        <v>851.1</v>
      </c>
      <c r="O795">
        <f t="shared" si="72"/>
        <v>851.1</v>
      </c>
      <c r="P795" t="str">
        <f t="shared" si="73"/>
        <v>Apr</v>
      </c>
      <c r="Q795" t="str">
        <f t="shared" si="74"/>
        <v>Q2</v>
      </c>
      <c r="R795" s="5" t="str">
        <f t="shared" si="75"/>
        <v>Large</v>
      </c>
      <c r="S795" s="5" t="str">
        <f t="shared" si="76"/>
        <v>Completed</v>
      </c>
      <c r="T795" s="5" t="str">
        <f t="shared" si="77"/>
        <v>Yes</v>
      </c>
    </row>
    <row r="796" spans="1:20"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c r="O796">
        <f t="shared" si="72"/>
        <v>1539.4</v>
      </c>
      <c r="P796" t="str">
        <f t="shared" si="73"/>
        <v>Mar</v>
      </c>
      <c r="Q796" t="str">
        <f t="shared" si="74"/>
        <v>Q1</v>
      </c>
      <c r="R796" s="5" t="str">
        <f t="shared" si="75"/>
        <v>Large</v>
      </c>
      <c r="S796" s="5" t="str">
        <f t="shared" si="76"/>
        <v>Completed</v>
      </c>
      <c r="T796" s="5" t="str">
        <f t="shared" si="77"/>
        <v>Yes</v>
      </c>
    </row>
    <row r="797" spans="1:20"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c r="O797">
        <f t="shared" si="72"/>
        <v>463.08</v>
      </c>
      <c r="P797" t="str">
        <f t="shared" si="73"/>
        <v>Nov</v>
      </c>
      <c r="Q797" t="str">
        <f t="shared" si="74"/>
        <v>Q4</v>
      </c>
      <c r="R797" s="5" t="str">
        <f t="shared" si="75"/>
        <v>Medium</v>
      </c>
      <c r="S797" s="5" t="str">
        <f t="shared" si="76"/>
        <v>Pending</v>
      </c>
      <c r="T797" s="5" t="str">
        <f t="shared" si="77"/>
        <v>Yes</v>
      </c>
    </row>
    <row r="798" spans="1:20"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c r="O798">
        <f t="shared" si="72"/>
        <v>1738.6499999999999</v>
      </c>
      <c r="P798" t="str">
        <f t="shared" si="73"/>
        <v>Apr</v>
      </c>
      <c r="Q798" t="str">
        <f t="shared" si="74"/>
        <v>Q2</v>
      </c>
      <c r="R798" s="5" t="str">
        <f t="shared" si="75"/>
        <v>Large</v>
      </c>
      <c r="S798" s="5" t="str">
        <f t="shared" si="76"/>
        <v>Pending</v>
      </c>
      <c r="T798" s="5" t="str">
        <f t="shared" si="77"/>
        <v>Yes</v>
      </c>
    </row>
    <row r="799" spans="1:20" x14ac:dyDescent="0.35">
      <c r="A799" t="s">
        <v>811</v>
      </c>
      <c r="B799" s="2">
        <v>44984</v>
      </c>
      <c r="C799" t="s">
        <v>2008</v>
      </c>
      <c r="D799" t="s">
        <v>2408</v>
      </c>
      <c r="E799">
        <v>2</v>
      </c>
      <c r="F799">
        <v>438.76</v>
      </c>
      <c r="G799" t="s">
        <v>2929</v>
      </c>
      <c r="H799" t="s">
        <v>3065</v>
      </c>
      <c r="I799" t="s">
        <v>3072</v>
      </c>
      <c r="J799" t="s">
        <v>3872</v>
      </c>
      <c r="K799">
        <v>2</v>
      </c>
      <c r="L799" t="s">
        <v>4329</v>
      </c>
      <c r="M799" t="s">
        <v>4281</v>
      </c>
      <c r="N799">
        <v>877.52</v>
      </c>
      <c r="O799">
        <f t="shared" si="72"/>
        <v>877.52</v>
      </c>
      <c r="P799" t="str">
        <f t="shared" si="73"/>
        <v>Feb</v>
      </c>
      <c r="Q799" t="str">
        <f t="shared" si="74"/>
        <v>Q1</v>
      </c>
      <c r="R799" s="5" t="str">
        <f t="shared" si="75"/>
        <v>Large</v>
      </c>
      <c r="S799" s="5" t="str">
        <f t="shared" si="76"/>
        <v>Pending</v>
      </c>
      <c r="T799" s="5" t="str">
        <f t="shared" si="77"/>
        <v>Yes</v>
      </c>
    </row>
    <row r="800" spans="1:20"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c r="O800">
        <f t="shared" si="72"/>
        <v>2441.75</v>
      </c>
      <c r="P800" t="str">
        <f t="shared" si="73"/>
        <v>May</v>
      </c>
      <c r="Q800" t="str">
        <f t="shared" si="74"/>
        <v>Q2</v>
      </c>
      <c r="R800" s="5" t="str">
        <f t="shared" si="75"/>
        <v>Large</v>
      </c>
      <c r="S800" s="5" t="str">
        <f t="shared" si="76"/>
        <v>Pending</v>
      </c>
      <c r="T800" s="5" t="str">
        <f t="shared" si="77"/>
        <v>Yes</v>
      </c>
    </row>
    <row r="801" spans="1:20"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c r="O801">
        <f t="shared" si="72"/>
        <v>1314.24</v>
      </c>
      <c r="P801" t="str">
        <f t="shared" si="73"/>
        <v>Apr</v>
      </c>
      <c r="Q801" t="str">
        <f t="shared" si="74"/>
        <v>Q2</v>
      </c>
      <c r="R801" s="5" t="str">
        <f t="shared" si="75"/>
        <v>Large</v>
      </c>
      <c r="S801" s="5" t="str">
        <f t="shared" si="76"/>
        <v>Pending</v>
      </c>
      <c r="T801" s="5" t="str">
        <f t="shared" si="77"/>
        <v>Yes</v>
      </c>
    </row>
    <row r="802" spans="1:20"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c r="O802">
        <f t="shared" si="72"/>
        <v>68.39</v>
      </c>
      <c r="P802" t="str">
        <f t="shared" si="73"/>
        <v>Mar</v>
      </c>
      <c r="Q802" t="str">
        <f t="shared" si="74"/>
        <v>Q1</v>
      </c>
      <c r="R802" s="5" t="str">
        <f t="shared" si="75"/>
        <v>Small</v>
      </c>
      <c r="S802" s="5" t="str">
        <f t="shared" si="76"/>
        <v>Pending</v>
      </c>
      <c r="T802" s="5" t="str">
        <f t="shared" si="77"/>
        <v>Yes</v>
      </c>
    </row>
    <row r="803" spans="1:20"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c r="O803">
        <f t="shared" si="72"/>
        <v>2382.48</v>
      </c>
      <c r="P803" t="str">
        <f t="shared" si="73"/>
        <v>May</v>
      </c>
      <c r="Q803" t="str">
        <f t="shared" si="74"/>
        <v>Q2</v>
      </c>
      <c r="R803" s="5" t="str">
        <f t="shared" si="75"/>
        <v>Large</v>
      </c>
      <c r="S803" s="5" t="str">
        <f t="shared" si="76"/>
        <v>Pending</v>
      </c>
      <c r="T803" s="5" t="str">
        <f t="shared" si="77"/>
        <v>Yes</v>
      </c>
    </row>
    <row r="804" spans="1:20"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c r="O804">
        <f t="shared" si="72"/>
        <v>3223.2</v>
      </c>
      <c r="P804" t="str">
        <f t="shared" si="73"/>
        <v>Feb</v>
      </c>
      <c r="Q804" t="str">
        <f t="shared" si="74"/>
        <v>Q1</v>
      </c>
      <c r="R804" s="5" t="str">
        <f t="shared" si="75"/>
        <v>Large</v>
      </c>
      <c r="S804" s="5" t="str">
        <f t="shared" si="76"/>
        <v>Pending</v>
      </c>
      <c r="T804" s="5" t="str">
        <f t="shared" si="77"/>
        <v>Yes</v>
      </c>
    </row>
    <row r="805" spans="1:20"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c r="O805">
        <f t="shared" si="72"/>
        <v>1989.05</v>
      </c>
      <c r="P805" t="str">
        <f t="shared" si="73"/>
        <v>Aug</v>
      </c>
      <c r="Q805" t="str">
        <f t="shared" si="74"/>
        <v>Q3</v>
      </c>
      <c r="R805" s="5" t="str">
        <f t="shared" si="75"/>
        <v>Large</v>
      </c>
      <c r="S805" s="5" t="str">
        <f t="shared" si="76"/>
        <v>Pending</v>
      </c>
      <c r="T805" s="5" t="str">
        <f t="shared" si="77"/>
        <v>Yes</v>
      </c>
    </row>
    <row r="806" spans="1:20"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c r="O806">
        <f t="shared" si="72"/>
        <v>709.5</v>
      </c>
      <c r="P806" t="str">
        <f t="shared" si="73"/>
        <v>Jan</v>
      </c>
      <c r="Q806" t="str">
        <f t="shared" si="74"/>
        <v>Q1</v>
      </c>
      <c r="R806" s="5" t="str">
        <f t="shared" si="75"/>
        <v>Large</v>
      </c>
      <c r="S806" s="5" t="str">
        <f t="shared" si="76"/>
        <v>Completed</v>
      </c>
      <c r="T806" s="5" t="str">
        <f t="shared" si="77"/>
        <v>Yes</v>
      </c>
    </row>
    <row r="807" spans="1:20"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c r="O807">
        <f t="shared" si="72"/>
        <v>2360.0500000000002</v>
      </c>
      <c r="P807" t="str">
        <f t="shared" si="73"/>
        <v>Oct</v>
      </c>
      <c r="Q807" t="str">
        <f t="shared" si="74"/>
        <v>Q4</v>
      </c>
      <c r="R807" s="5" t="str">
        <f t="shared" si="75"/>
        <v>Large</v>
      </c>
      <c r="S807" s="5" t="str">
        <f t="shared" si="76"/>
        <v>Pending</v>
      </c>
      <c r="T807" s="5" t="str">
        <f t="shared" si="77"/>
        <v>Yes</v>
      </c>
    </row>
    <row r="808" spans="1:20"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c r="O808">
        <f t="shared" si="72"/>
        <v>1268.75</v>
      </c>
      <c r="P808" t="str">
        <f t="shared" si="73"/>
        <v>Sep</v>
      </c>
      <c r="Q808" t="str">
        <f t="shared" si="74"/>
        <v>Q3</v>
      </c>
      <c r="R808" s="5" t="str">
        <f t="shared" si="75"/>
        <v>Large</v>
      </c>
      <c r="S808" s="5" t="str">
        <f t="shared" si="76"/>
        <v>Pending</v>
      </c>
      <c r="T808" s="5" t="str">
        <f t="shared" si="77"/>
        <v>Yes</v>
      </c>
    </row>
    <row r="809" spans="1:20"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c r="O809">
        <f t="shared" si="72"/>
        <v>2028.63</v>
      </c>
      <c r="P809" t="str">
        <f t="shared" si="73"/>
        <v>Nov</v>
      </c>
      <c r="Q809" t="str">
        <f t="shared" si="74"/>
        <v>Q4</v>
      </c>
      <c r="R809" s="5" t="str">
        <f t="shared" si="75"/>
        <v>Large</v>
      </c>
      <c r="S809" s="5" t="str">
        <f t="shared" si="76"/>
        <v>Completed</v>
      </c>
      <c r="T809" s="5" t="str">
        <f t="shared" si="77"/>
        <v>Yes</v>
      </c>
    </row>
    <row r="810" spans="1:20" x14ac:dyDescent="0.35">
      <c r="A810" t="s">
        <v>822</v>
      </c>
      <c r="B810" s="2">
        <v>45335</v>
      </c>
      <c r="C810" t="s">
        <v>2018</v>
      </c>
      <c r="D810" t="s">
        <v>2409</v>
      </c>
      <c r="E810">
        <v>3</v>
      </c>
      <c r="F810">
        <v>134.05000000000001</v>
      </c>
      <c r="G810" t="s">
        <v>2936</v>
      </c>
      <c r="H810" t="s">
        <v>3067</v>
      </c>
      <c r="I810" t="s">
        <v>3070</v>
      </c>
      <c r="J810" t="s">
        <v>3883</v>
      </c>
      <c r="K810">
        <v>3</v>
      </c>
      <c r="L810" t="s">
        <v>4329</v>
      </c>
      <c r="M810" t="s">
        <v>4282</v>
      </c>
      <c r="N810">
        <v>402.15</v>
      </c>
      <c r="O810">
        <f t="shared" si="72"/>
        <v>402.15000000000003</v>
      </c>
      <c r="P810" t="str">
        <f t="shared" si="73"/>
        <v>Feb</v>
      </c>
      <c r="Q810" t="str">
        <f t="shared" si="74"/>
        <v>Q1</v>
      </c>
      <c r="R810" s="5" t="str">
        <f t="shared" si="75"/>
        <v>Medium</v>
      </c>
      <c r="S810" s="5" t="str">
        <f t="shared" si="76"/>
        <v>Pending</v>
      </c>
      <c r="T810" s="5" t="str">
        <f t="shared" si="77"/>
        <v>Yes</v>
      </c>
    </row>
    <row r="811" spans="1:20"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c r="O811">
        <f t="shared" si="72"/>
        <v>1087.1500000000001</v>
      </c>
      <c r="P811" t="str">
        <f t="shared" si="73"/>
        <v>Apr</v>
      </c>
      <c r="Q811" t="str">
        <f t="shared" si="74"/>
        <v>Q2</v>
      </c>
      <c r="R811" s="5" t="str">
        <f t="shared" si="75"/>
        <v>Large</v>
      </c>
      <c r="S811" s="5" t="str">
        <f t="shared" si="76"/>
        <v>Pending</v>
      </c>
      <c r="T811" s="5" t="str">
        <f t="shared" si="77"/>
        <v>Yes</v>
      </c>
    </row>
    <row r="812" spans="1:20" x14ac:dyDescent="0.35">
      <c r="A812" t="s">
        <v>824</v>
      </c>
      <c r="B812" s="2">
        <v>45077</v>
      </c>
      <c r="C812" t="s">
        <v>2020</v>
      </c>
      <c r="D812" t="s">
        <v>2405</v>
      </c>
      <c r="E812">
        <v>1</v>
      </c>
      <c r="F812">
        <v>553.55999999999995</v>
      </c>
      <c r="G812" t="s">
        <v>2937</v>
      </c>
      <c r="H812" t="s">
        <v>3067</v>
      </c>
      <c r="I812" t="s">
        <v>3071</v>
      </c>
      <c r="J812" t="s">
        <v>3885</v>
      </c>
      <c r="K812">
        <v>5</v>
      </c>
      <c r="L812" t="s">
        <v>4329</v>
      </c>
      <c r="M812" t="s">
        <v>4279</v>
      </c>
      <c r="N812">
        <v>553.55999999999995</v>
      </c>
      <c r="O812">
        <f t="shared" si="72"/>
        <v>553.55999999999995</v>
      </c>
      <c r="P812" t="str">
        <f t="shared" si="73"/>
        <v>May</v>
      </c>
      <c r="Q812" t="str">
        <f t="shared" si="74"/>
        <v>Q2</v>
      </c>
      <c r="R812" s="5" t="str">
        <f t="shared" si="75"/>
        <v>Large</v>
      </c>
      <c r="S812" s="5" t="str">
        <f t="shared" si="76"/>
        <v>Pending</v>
      </c>
      <c r="T812" s="5" t="str">
        <f t="shared" si="77"/>
        <v>Yes</v>
      </c>
    </row>
    <row r="813" spans="1:20"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c r="O813">
        <f t="shared" si="72"/>
        <v>57.1</v>
      </c>
      <c r="P813" t="str">
        <f t="shared" si="73"/>
        <v>Nov</v>
      </c>
      <c r="Q813" t="str">
        <f t="shared" si="74"/>
        <v>Q4</v>
      </c>
      <c r="R813" s="5" t="str">
        <f t="shared" si="75"/>
        <v>Small</v>
      </c>
      <c r="S813" s="5" t="str">
        <f t="shared" si="76"/>
        <v>Pending</v>
      </c>
      <c r="T813" s="5" t="str">
        <f t="shared" si="77"/>
        <v>Yes</v>
      </c>
    </row>
    <row r="814" spans="1:20"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c r="O814">
        <f t="shared" si="72"/>
        <v>510.52</v>
      </c>
      <c r="P814" t="str">
        <f t="shared" si="73"/>
        <v>Jan</v>
      </c>
      <c r="Q814" t="str">
        <f t="shared" si="74"/>
        <v>Q1</v>
      </c>
      <c r="R814" s="5" t="str">
        <f t="shared" si="75"/>
        <v>Large</v>
      </c>
      <c r="S814" s="5" t="str">
        <f t="shared" si="76"/>
        <v>Pending</v>
      </c>
      <c r="T814" s="5" t="str">
        <f t="shared" si="77"/>
        <v>Yes</v>
      </c>
    </row>
    <row r="815" spans="1:20"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c r="O815">
        <f t="shared" si="72"/>
        <v>1462.7</v>
      </c>
      <c r="P815" t="str">
        <f t="shared" si="73"/>
        <v>Mar</v>
      </c>
      <c r="Q815" t="str">
        <f t="shared" si="74"/>
        <v>Q1</v>
      </c>
      <c r="R815" s="5" t="str">
        <f t="shared" si="75"/>
        <v>Large</v>
      </c>
      <c r="S815" s="5" t="str">
        <f t="shared" si="76"/>
        <v>Pending</v>
      </c>
      <c r="T815" s="5" t="str">
        <f t="shared" si="77"/>
        <v>Yes</v>
      </c>
    </row>
    <row r="816" spans="1:20"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c r="O816">
        <f t="shared" si="72"/>
        <v>590.04</v>
      </c>
      <c r="P816" t="str">
        <f t="shared" si="73"/>
        <v>Dec</v>
      </c>
      <c r="Q816" t="str">
        <f t="shared" si="74"/>
        <v>Q4</v>
      </c>
      <c r="R816" s="5" t="str">
        <f t="shared" si="75"/>
        <v>Large</v>
      </c>
      <c r="S816" s="5" t="str">
        <f t="shared" si="76"/>
        <v>Pending</v>
      </c>
      <c r="T816" s="5" t="str">
        <f t="shared" si="77"/>
        <v>Yes</v>
      </c>
    </row>
    <row r="817" spans="1:20"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c r="O817">
        <f t="shared" si="72"/>
        <v>1709.52</v>
      </c>
      <c r="P817" t="str">
        <f t="shared" si="73"/>
        <v>Aug</v>
      </c>
      <c r="Q817" t="str">
        <f t="shared" si="74"/>
        <v>Q3</v>
      </c>
      <c r="R817" s="5" t="str">
        <f t="shared" si="75"/>
        <v>Large</v>
      </c>
      <c r="S817" s="5" t="str">
        <f t="shared" si="76"/>
        <v>Pending</v>
      </c>
      <c r="T817" s="5" t="str">
        <f t="shared" si="77"/>
        <v>Yes</v>
      </c>
    </row>
    <row r="818" spans="1:20"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c r="O818">
        <f t="shared" si="72"/>
        <v>2873.95</v>
      </c>
      <c r="P818" t="str">
        <f t="shared" si="73"/>
        <v>Feb</v>
      </c>
      <c r="Q818" t="str">
        <f t="shared" si="74"/>
        <v>Q1</v>
      </c>
      <c r="R818" s="5" t="str">
        <f t="shared" si="75"/>
        <v>Large</v>
      </c>
      <c r="S818" s="5" t="str">
        <f t="shared" si="76"/>
        <v>Pending</v>
      </c>
      <c r="T818" s="5" t="str">
        <f t="shared" si="77"/>
        <v>Yes</v>
      </c>
    </row>
    <row r="819" spans="1:20"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c r="O819">
        <f t="shared" si="72"/>
        <v>2392.7600000000002</v>
      </c>
      <c r="P819" t="str">
        <f t="shared" si="73"/>
        <v>Oct</v>
      </c>
      <c r="Q819" t="str">
        <f t="shared" si="74"/>
        <v>Q4</v>
      </c>
      <c r="R819" s="5" t="str">
        <f t="shared" si="75"/>
        <v>Large</v>
      </c>
      <c r="S819" s="5" t="str">
        <f t="shared" si="76"/>
        <v>Completed</v>
      </c>
      <c r="T819" s="5" t="str">
        <f t="shared" si="77"/>
        <v>Yes</v>
      </c>
    </row>
    <row r="820" spans="1:20"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c r="O820">
        <f t="shared" si="72"/>
        <v>1563.36</v>
      </c>
      <c r="P820" t="str">
        <f t="shared" si="73"/>
        <v>Mar</v>
      </c>
      <c r="Q820" t="str">
        <f t="shared" si="74"/>
        <v>Q1</v>
      </c>
      <c r="R820" s="5" t="str">
        <f t="shared" si="75"/>
        <v>Large</v>
      </c>
      <c r="S820" s="5" t="str">
        <f t="shared" si="76"/>
        <v>Pending</v>
      </c>
      <c r="T820" s="5" t="str">
        <f t="shared" si="77"/>
        <v>Yes</v>
      </c>
    </row>
    <row r="821" spans="1:20"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c r="O821">
        <f t="shared" si="72"/>
        <v>796.9</v>
      </c>
      <c r="P821" t="str">
        <f t="shared" si="73"/>
        <v>Sep</v>
      </c>
      <c r="Q821" t="str">
        <f t="shared" si="74"/>
        <v>Q3</v>
      </c>
      <c r="R821" s="5" t="str">
        <f t="shared" si="75"/>
        <v>Large</v>
      </c>
      <c r="S821" s="5" t="str">
        <f t="shared" si="76"/>
        <v>Pending</v>
      </c>
      <c r="T821" s="5" t="str">
        <f t="shared" si="77"/>
        <v>Yes</v>
      </c>
    </row>
    <row r="822" spans="1:20"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c r="O822">
        <f t="shared" si="72"/>
        <v>3119.0499999999997</v>
      </c>
      <c r="P822" t="str">
        <f t="shared" si="73"/>
        <v>May</v>
      </c>
      <c r="Q822" t="str">
        <f t="shared" si="74"/>
        <v>Q2</v>
      </c>
      <c r="R822" s="5" t="str">
        <f t="shared" si="75"/>
        <v>Large</v>
      </c>
      <c r="S822" s="5" t="str">
        <f t="shared" si="76"/>
        <v>Pending</v>
      </c>
      <c r="T822" s="5" t="str">
        <f t="shared" si="77"/>
        <v>Yes</v>
      </c>
    </row>
    <row r="823" spans="1:20"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c r="O823">
        <f t="shared" si="72"/>
        <v>697.96</v>
      </c>
      <c r="P823" t="str">
        <f t="shared" si="73"/>
        <v>Dec</v>
      </c>
      <c r="Q823" t="str">
        <f t="shared" si="74"/>
        <v>Q4</v>
      </c>
      <c r="R823" s="5" t="str">
        <f t="shared" si="75"/>
        <v>Large</v>
      </c>
      <c r="S823" s="5" t="str">
        <f t="shared" si="76"/>
        <v>Completed</v>
      </c>
      <c r="T823" s="5" t="str">
        <f t="shared" si="77"/>
        <v>Yes</v>
      </c>
    </row>
    <row r="824" spans="1:20"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c r="O824">
        <f t="shared" si="72"/>
        <v>479.56</v>
      </c>
      <c r="P824" t="str">
        <f t="shared" si="73"/>
        <v>Mar</v>
      </c>
      <c r="Q824" t="str">
        <f t="shared" si="74"/>
        <v>Q1</v>
      </c>
      <c r="R824" s="5" t="str">
        <f t="shared" si="75"/>
        <v>Medium</v>
      </c>
      <c r="S824" s="5" t="str">
        <f t="shared" si="76"/>
        <v>Pending</v>
      </c>
      <c r="T824" s="5" t="str">
        <f t="shared" si="77"/>
        <v>Yes</v>
      </c>
    </row>
    <row r="825" spans="1:20"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c r="O825">
        <f t="shared" si="72"/>
        <v>2612.52</v>
      </c>
      <c r="P825" t="str">
        <f t="shared" si="73"/>
        <v>Oct</v>
      </c>
      <c r="Q825" t="str">
        <f t="shared" si="74"/>
        <v>Q4</v>
      </c>
      <c r="R825" s="5" t="str">
        <f t="shared" si="75"/>
        <v>Large</v>
      </c>
      <c r="S825" s="5" t="str">
        <f t="shared" si="76"/>
        <v>Pending</v>
      </c>
      <c r="T825" s="5" t="str">
        <f t="shared" si="77"/>
        <v>Yes</v>
      </c>
    </row>
    <row r="826" spans="1:20"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c r="O826">
        <f t="shared" si="72"/>
        <v>1443.3000000000002</v>
      </c>
      <c r="P826" t="str">
        <f t="shared" si="73"/>
        <v>Aug</v>
      </c>
      <c r="Q826" t="str">
        <f t="shared" si="74"/>
        <v>Q3</v>
      </c>
      <c r="R826" s="5" t="str">
        <f t="shared" si="75"/>
        <v>Large</v>
      </c>
      <c r="S826" s="5" t="str">
        <f t="shared" si="76"/>
        <v>Pending</v>
      </c>
      <c r="T826" s="5" t="str">
        <f t="shared" si="77"/>
        <v>Yes</v>
      </c>
    </row>
    <row r="827" spans="1:20"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c r="O827">
        <f t="shared" si="72"/>
        <v>1358.45</v>
      </c>
      <c r="P827" t="str">
        <f t="shared" si="73"/>
        <v>Mar</v>
      </c>
      <c r="Q827" t="str">
        <f t="shared" si="74"/>
        <v>Q1</v>
      </c>
      <c r="R827" s="5" t="str">
        <f t="shared" si="75"/>
        <v>Large</v>
      </c>
      <c r="S827" s="5" t="str">
        <f t="shared" si="76"/>
        <v>Pending</v>
      </c>
      <c r="T827" s="5" t="str">
        <f t="shared" si="77"/>
        <v>Yes</v>
      </c>
    </row>
    <row r="828" spans="1:20"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c r="O828">
        <f t="shared" si="72"/>
        <v>1391.43</v>
      </c>
      <c r="P828" t="str">
        <f t="shared" si="73"/>
        <v>Mar</v>
      </c>
      <c r="Q828" t="str">
        <f t="shared" si="74"/>
        <v>Q1</v>
      </c>
      <c r="R828" s="5" t="str">
        <f t="shared" si="75"/>
        <v>Large</v>
      </c>
      <c r="S828" s="5" t="str">
        <f t="shared" si="76"/>
        <v>Pending</v>
      </c>
      <c r="T828" s="5" t="str">
        <f t="shared" si="77"/>
        <v>Yes</v>
      </c>
    </row>
    <row r="829" spans="1:20"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c r="O829">
        <f t="shared" si="72"/>
        <v>1279.76</v>
      </c>
      <c r="P829" t="str">
        <f t="shared" si="73"/>
        <v>May</v>
      </c>
      <c r="Q829" t="str">
        <f t="shared" si="74"/>
        <v>Q2</v>
      </c>
      <c r="R829" s="5" t="str">
        <f t="shared" si="75"/>
        <v>Large</v>
      </c>
      <c r="S829" s="5" t="str">
        <f t="shared" si="76"/>
        <v>Completed</v>
      </c>
      <c r="T829" s="5" t="str">
        <f t="shared" si="77"/>
        <v>Yes</v>
      </c>
    </row>
    <row r="830" spans="1:20"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c r="O830">
        <f t="shared" si="72"/>
        <v>1618.32</v>
      </c>
      <c r="P830" t="str">
        <f t="shared" si="73"/>
        <v>Jul</v>
      </c>
      <c r="Q830" t="str">
        <f t="shared" si="74"/>
        <v>Q3</v>
      </c>
      <c r="R830" s="5" t="str">
        <f t="shared" si="75"/>
        <v>Large</v>
      </c>
      <c r="S830" s="5" t="str">
        <f t="shared" si="76"/>
        <v>Pending</v>
      </c>
      <c r="T830" s="5" t="str">
        <f t="shared" si="77"/>
        <v>Yes</v>
      </c>
    </row>
    <row r="831" spans="1:20"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c r="O831">
        <f t="shared" si="72"/>
        <v>76.930000000000007</v>
      </c>
      <c r="P831" t="str">
        <f t="shared" si="73"/>
        <v>Feb</v>
      </c>
      <c r="Q831" t="str">
        <f t="shared" si="74"/>
        <v>Q1</v>
      </c>
      <c r="R831" s="5" t="str">
        <f t="shared" si="75"/>
        <v>Small</v>
      </c>
      <c r="S831" s="5" t="str">
        <f t="shared" si="76"/>
        <v>Completed</v>
      </c>
      <c r="T831" s="5" t="str">
        <f t="shared" si="77"/>
        <v>Yes</v>
      </c>
    </row>
    <row r="832" spans="1:20"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c r="O832">
        <f t="shared" si="72"/>
        <v>762.56</v>
      </c>
      <c r="P832" t="str">
        <f t="shared" si="73"/>
        <v>Dec</v>
      </c>
      <c r="Q832" t="str">
        <f t="shared" si="74"/>
        <v>Q4</v>
      </c>
      <c r="R832" s="5" t="str">
        <f t="shared" si="75"/>
        <v>Large</v>
      </c>
      <c r="S832" s="5" t="str">
        <f t="shared" si="76"/>
        <v>Completed</v>
      </c>
      <c r="T832" s="5" t="str">
        <f t="shared" si="77"/>
        <v>Yes</v>
      </c>
    </row>
    <row r="833" spans="1:20" x14ac:dyDescent="0.35">
      <c r="A833" t="s">
        <v>845</v>
      </c>
      <c r="B833" s="2">
        <v>45278</v>
      </c>
      <c r="C833" t="s">
        <v>2041</v>
      </c>
      <c r="D833" t="s">
        <v>2407</v>
      </c>
      <c r="E833">
        <v>2</v>
      </c>
      <c r="F833">
        <v>88.73</v>
      </c>
      <c r="G833" t="s">
        <v>2851</v>
      </c>
      <c r="H833" t="s">
        <v>3066</v>
      </c>
      <c r="I833" t="s">
        <v>3074</v>
      </c>
      <c r="J833" t="s">
        <v>3906</v>
      </c>
      <c r="K833">
        <v>5</v>
      </c>
      <c r="L833" t="s">
        <v>4329</v>
      </c>
      <c r="M833" t="s">
        <v>4282</v>
      </c>
      <c r="N833">
        <v>177.46</v>
      </c>
      <c r="O833">
        <f t="shared" si="72"/>
        <v>177.46</v>
      </c>
      <c r="P833" t="str">
        <f t="shared" si="73"/>
        <v>Dec</v>
      </c>
      <c r="Q833" t="str">
        <f t="shared" si="74"/>
        <v>Q4</v>
      </c>
      <c r="R833" s="5" t="str">
        <f t="shared" si="75"/>
        <v>Medium</v>
      </c>
      <c r="S833" s="5" t="str">
        <f t="shared" si="76"/>
        <v>Pending</v>
      </c>
      <c r="T833" s="5" t="str">
        <f t="shared" si="77"/>
        <v>Yes</v>
      </c>
    </row>
    <row r="834" spans="1:20"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c r="O834">
        <f t="shared" ref="O834:O897" si="78">E834*F834</f>
        <v>2428.5499999999997</v>
      </c>
      <c r="P834" t="str">
        <f t="shared" ref="P834:P897" si="79">TEXT(B834, "mmm")</f>
        <v>Mar</v>
      </c>
      <c r="Q834" t="str">
        <f t="shared" ref="Q834:Q897" si="80">"Q"&amp;ROUNDUP(MONTH(B834)/3,0)</f>
        <v>Q1</v>
      </c>
      <c r="R834" s="5" t="str">
        <f t="shared" ref="R834:R897" si="81">IF(N834&lt;100,"Small", IF(N834&lt;500, "Medium", "Large"))</f>
        <v>Large</v>
      </c>
      <c r="S834" s="5" t="str">
        <f t="shared" ref="S834:S897" si="82">IF(I834="Delivered","Completed","Pending")</f>
        <v>Pending</v>
      </c>
      <c r="T834" s="5" t="str">
        <f t="shared" ref="T834:T897" si="83">IF(L834="","No", "Yes")</f>
        <v>Yes</v>
      </c>
    </row>
    <row r="835" spans="1:20"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c r="O835">
        <f t="shared" si="78"/>
        <v>391.45000000000005</v>
      </c>
      <c r="P835" t="str">
        <f t="shared" si="79"/>
        <v>Mar</v>
      </c>
      <c r="Q835" t="str">
        <f t="shared" si="80"/>
        <v>Q1</v>
      </c>
      <c r="R835" s="5" t="str">
        <f t="shared" si="81"/>
        <v>Medium</v>
      </c>
      <c r="S835" s="5" t="str">
        <f t="shared" si="82"/>
        <v>Pending</v>
      </c>
      <c r="T835" s="5" t="str">
        <f t="shared" si="83"/>
        <v>Yes</v>
      </c>
    </row>
    <row r="836" spans="1:20" x14ac:dyDescent="0.35">
      <c r="A836" t="s">
        <v>848</v>
      </c>
      <c r="B836" s="2">
        <v>45393</v>
      </c>
      <c r="C836" t="s">
        <v>2044</v>
      </c>
      <c r="D836" t="s">
        <v>2407</v>
      </c>
      <c r="E836">
        <v>5</v>
      </c>
      <c r="F836">
        <v>22.14</v>
      </c>
      <c r="G836" t="s">
        <v>2616</v>
      </c>
      <c r="H836" t="s">
        <v>3069</v>
      </c>
      <c r="I836" t="s">
        <v>3072</v>
      </c>
      <c r="J836" t="s">
        <v>3909</v>
      </c>
      <c r="K836">
        <v>10</v>
      </c>
      <c r="L836" t="s">
        <v>4329</v>
      </c>
      <c r="M836" t="s">
        <v>4278</v>
      </c>
      <c r="N836">
        <v>110.7</v>
      </c>
      <c r="O836">
        <f t="shared" si="78"/>
        <v>110.7</v>
      </c>
      <c r="P836" t="str">
        <f t="shared" si="79"/>
        <v>Apr</v>
      </c>
      <c r="Q836" t="str">
        <f t="shared" si="80"/>
        <v>Q2</v>
      </c>
      <c r="R836" s="5" t="str">
        <f t="shared" si="81"/>
        <v>Medium</v>
      </c>
      <c r="S836" s="5" t="str">
        <f t="shared" si="82"/>
        <v>Pending</v>
      </c>
      <c r="T836" s="5" t="str">
        <f t="shared" si="83"/>
        <v>Yes</v>
      </c>
    </row>
    <row r="837" spans="1:20"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c r="O837">
        <f t="shared" si="78"/>
        <v>679.65</v>
      </c>
      <c r="P837" t="str">
        <f t="shared" si="79"/>
        <v>Mar</v>
      </c>
      <c r="Q837" t="str">
        <f t="shared" si="80"/>
        <v>Q1</v>
      </c>
      <c r="R837" s="5" t="str">
        <f t="shared" si="81"/>
        <v>Large</v>
      </c>
      <c r="S837" s="5" t="str">
        <f t="shared" si="82"/>
        <v>Pending</v>
      </c>
      <c r="T837" s="5" t="str">
        <f t="shared" si="83"/>
        <v>Yes</v>
      </c>
    </row>
    <row r="838" spans="1:20"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c r="O838">
        <f t="shared" si="78"/>
        <v>178.44</v>
      </c>
      <c r="P838" t="str">
        <f t="shared" si="79"/>
        <v>Feb</v>
      </c>
      <c r="Q838" t="str">
        <f t="shared" si="80"/>
        <v>Q1</v>
      </c>
      <c r="R838" s="5" t="str">
        <f t="shared" si="81"/>
        <v>Medium</v>
      </c>
      <c r="S838" s="5" t="str">
        <f t="shared" si="82"/>
        <v>Pending</v>
      </c>
      <c r="T838" s="5" t="str">
        <f t="shared" si="83"/>
        <v>Yes</v>
      </c>
    </row>
    <row r="839" spans="1:20" x14ac:dyDescent="0.35">
      <c r="A839" t="s">
        <v>851</v>
      </c>
      <c r="B839" s="2">
        <v>45822</v>
      </c>
      <c r="C839" t="s">
        <v>2047</v>
      </c>
      <c r="D839" t="s">
        <v>2406</v>
      </c>
      <c r="E839">
        <v>5</v>
      </c>
      <c r="F839">
        <v>655.55</v>
      </c>
      <c r="G839" t="s">
        <v>2839</v>
      </c>
      <c r="H839" t="s">
        <v>3066</v>
      </c>
      <c r="I839" t="s">
        <v>3073</v>
      </c>
      <c r="J839" t="s">
        <v>3912</v>
      </c>
      <c r="K839">
        <v>5</v>
      </c>
      <c r="L839" t="s">
        <v>4329</v>
      </c>
      <c r="M839" t="s">
        <v>4280</v>
      </c>
      <c r="N839">
        <v>3277.75</v>
      </c>
      <c r="O839">
        <f t="shared" si="78"/>
        <v>3277.75</v>
      </c>
      <c r="P839" t="str">
        <f t="shared" si="79"/>
        <v>Jun</v>
      </c>
      <c r="Q839" t="str">
        <f t="shared" si="80"/>
        <v>Q2</v>
      </c>
      <c r="R839" s="5" t="str">
        <f t="shared" si="81"/>
        <v>Large</v>
      </c>
      <c r="S839" s="5" t="str">
        <f t="shared" si="82"/>
        <v>Completed</v>
      </c>
      <c r="T839" s="5" t="str">
        <f t="shared" si="83"/>
        <v>Yes</v>
      </c>
    </row>
    <row r="840" spans="1:20" x14ac:dyDescent="0.35">
      <c r="A840" t="s">
        <v>852</v>
      </c>
      <c r="B840" s="2">
        <v>45393</v>
      </c>
      <c r="C840" t="s">
        <v>2048</v>
      </c>
      <c r="D840" t="s">
        <v>2409</v>
      </c>
      <c r="E840">
        <v>4</v>
      </c>
      <c r="F840">
        <v>577.08000000000004</v>
      </c>
      <c r="G840" t="s">
        <v>2475</v>
      </c>
      <c r="H840" t="s">
        <v>3066</v>
      </c>
      <c r="I840" t="s">
        <v>3074</v>
      </c>
      <c r="J840" t="s">
        <v>3913</v>
      </c>
      <c r="K840">
        <v>8</v>
      </c>
      <c r="L840" t="s">
        <v>4329</v>
      </c>
      <c r="M840" t="s">
        <v>4281</v>
      </c>
      <c r="N840">
        <v>2308.3200000000002</v>
      </c>
      <c r="O840">
        <f t="shared" si="78"/>
        <v>2308.3200000000002</v>
      </c>
      <c r="P840" t="str">
        <f t="shared" si="79"/>
        <v>Apr</v>
      </c>
      <c r="Q840" t="str">
        <f t="shared" si="80"/>
        <v>Q2</v>
      </c>
      <c r="R840" s="5" t="str">
        <f t="shared" si="81"/>
        <v>Large</v>
      </c>
      <c r="S840" s="5" t="str">
        <f t="shared" si="82"/>
        <v>Pending</v>
      </c>
      <c r="T840" s="5" t="str">
        <f t="shared" si="83"/>
        <v>Yes</v>
      </c>
    </row>
    <row r="841" spans="1:20" x14ac:dyDescent="0.35">
      <c r="A841" t="s">
        <v>853</v>
      </c>
      <c r="B841" s="2">
        <v>45162</v>
      </c>
      <c r="C841" t="s">
        <v>2049</v>
      </c>
      <c r="D841" t="s">
        <v>2406</v>
      </c>
      <c r="E841">
        <v>3</v>
      </c>
      <c r="F841">
        <v>197.97</v>
      </c>
      <c r="G841" t="s">
        <v>2902</v>
      </c>
      <c r="H841" t="s">
        <v>3066</v>
      </c>
      <c r="I841" t="s">
        <v>3071</v>
      </c>
      <c r="J841" t="s">
        <v>3914</v>
      </c>
      <c r="K841">
        <v>5</v>
      </c>
      <c r="L841" t="s">
        <v>4329</v>
      </c>
      <c r="M841" t="s">
        <v>4282</v>
      </c>
      <c r="N841">
        <v>593.91</v>
      </c>
      <c r="O841">
        <f t="shared" si="78"/>
        <v>593.91</v>
      </c>
      <c r="P841" t="str">
        <f t="shared" si="79"/>
        <v>Aug</v>
      </c>
      <c r="Q841" t="str">
        <f t="shared" si="80"/>
        <v>Q3</v>
      </c>
      <c r="R841" s="5" t="str">
        <f t="shared" si="81"/>
        <v>Large</v>
      </c>
      <c r="S841" s="5" t="str">
        <f t="shared" si="82"/>
        <v>Pending</v>
      </c>
      <c r="T841" s="5" t="str">
        <f t="shared" si="83"/>
        <v>Yes</v>
      </c>
    </row>
    <row r="842" spans="1:20"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c r="O842">
        <f t="shared" si="78"/>
        <v>1235.8499999999999</v>
      </c>
      <c r="P842" t="str">
        <f t="shared" si="79"/>
        <v>Jan</v>
      </c>
      <c r="Q842" t="str">
        <f t="shared" si="80"/>
        <v>Q1</v>
      </c>
      <c r="R842" s="5" t="str">
        <f t="shared" si="81"/>
        <v>Large</v>
      </c>
      <c r="S842" s="5" t="str">
        <f t="shared" si="82"/>
        <v>Completed</v>
      </c>
      <c r="T842" s="5" t="str">
        <f t="shared" si="83"/>
        <v>Yes</v>
      </c>
    </row>
    <row r="843" spans="1:20" x14ac:dyDescent="0.35">
      <c r="A843" t="s">
        <v>855</v>
      </c>
      <c r="B843" s="2">
        <v>45554</v>
      </c>
      <c r="C843" t="s">
        <v>2051</v>
      </c>
      <c r="D843" t="s">
        <v>2407</v>
      </c>
      <c r="E843">
        <v>2</v>
      </c>
      <c r="F843">
        <v>443.22</v>
      </c>
      <c r="G843" t="s">
        <v>2950</v>
      </c>
      <c r="H843" t="s">
        <v>3067</v>
      </c>
      <c r="I843" t="s">
        <v>3073</v>
      </c>
      <c r="J843" t="s">
        <v>3916</v>
      </c>
      <c r="K843">
        <v>5</v>
      </c>
      <c r="L843" t="s">
        <v>4329</v>
      </c>
      <c r="M843" t="s">
        <v>4281</v>
      </c>
      <c r="N843">
        <v>886.44</v>
      </c>
      <c r="O843">
        <f t="shared" si="78"/>
        <v>886.44</v>
      </c>
      <c r="P843" t="str">
        <f t="shared" si="79"/>
        <v>Sep</v>
      </c>
      <c r="Q843" t="str">
        <f t="shared" si="80"/>
        <v>Q3</v>
      </c>
      <c r="R843" s="5" t="str">
        <f t="shared" si="81"/>
        <v>Large</v>
      </c>
      <c r="S843" s="5" t="str">
        <f t="shared" si="82"/>
        <v>Completed</v>
      </c>
      <c r="T843" s="5" t="str">
        <f t="shared" si="83"/>
        <v>Yes</v>
      </c>
    </row>
    <row r="844" spans="1:20"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c r="O844">
        <f t="shared" si="78"/>
        <v>1092.42</v>
      </c>
      <c r="P844" t="str">
        <f t="shared" si="79"/>
        <v>May</v>
      </c>
      <c r="Q844" t="str">
        <f t="shared" si="80"/>
        <v>Q2</v>
      </c>
      <c r="R844" s="5" t="str">
        <f t="shared" si="81"/>
        <v>Large</v>
      </c>
      <c r="S844" s="5" t="str">
        <f t="shared" si="82"/>
        <v>Pending</v>
      </c>
      <c r="T844" s="5" t="str">
        <f t="shared" si="83"/>
        <v>Yes</v>
      </c>
    </row>
    <row r="845" spans="1:20"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c r="O845">
        <f t="shared" si="78"/>
        <v>1290.18</v>
      </c>
      <c r="P845" t="str">
        <f t="shared" si="79"/>
        <v>May</v>
      </c>
      <c r="Q845" t="str">
        <f t="shared" si="80"/>
        <v>Q2</v>
      </c>
      <c r="R845" s="5" t="str">
        <f t="shared" si="81"/>
        <v>Large</v>
      </c>
      <c r="S845" s="5" t="str">
        <f t="shared" si="82"/>
        <v>Pending</v>
      </c>
      <c r="T845" s="5" t="str">
        <f t="shared" si="83"/>
        <v>Yes</v>
      </c>
    </row>
    <row r="846" spans="1:20"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c r="O846">
        <f t="shared" si="78"/>
        <v>320.92</v>
      </c>
      <c r="P846" t="str">
        <f t="shared" si="79"/>
        <v>Dec</v>
      </c>
      <c r="Q846" t="str">
        <f t="shared" si="80"/>
        <v>Q4</v>
      </c>
      <c r="R846" s="5" t="str">
        <f t="shared" si="81"/>
        <v>Medium</v>
      </c>
      <c r="S846" s="5" t="str">
        <f t="shared" si="82"/>
        <v>Pending</v>
      </c>
      <c r="T846" s="5" t="str">
        <f t="shared" si="83"/>
        <v>Yes</v>
      </c>
    </row>
    <row r="847" spans="1:20"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c r="O847">
        <f t="shared" si="78"/>
        <v>322.08</v>
      </c>
      <c r="P847" t="str">
        <f t="shared" si="79"/>
        <v>Oct</v>
      </c>
      <c r="Q847" t="str">
        <f t="shared" si="80"/>
        <v>Q4</v>
      </c>
      <c r="R847" s="5" t="str">
        <f t="shared" si="81"/>
        <v>Medium</v>
      </c>
      <c r="S847" s="5" t="str">
        <f t="shared" si="82"/>
        <v>Completed</v>
      </c>
      <c r="T847" s="5" t="str">
        <f t="shared" si="83"/>
        <v>Yes</v>
      </c>
    </row>
    <row r="848" spans="1:20" x14ac:dyDescent="0.35">
      <c r="A848" t="s">
        <v>860</v>
      </c>
      <c r="B848" s="2">
        <v>45477</v>
      </c>
      <c r="C848" t="s">
        <v>2056</v>
      </c>
      <c r="D848" t="s">
        <v>2409</v>
      </c>
      <c r="E848">
        <v>2</v>
      </c>
      <c r="F848">
        <v>359.86</v>
      </c>
      <c r="G848" t="s">
        <v>2954</v>
      </c>
      <c r="H848" t="s">
        <v>3065</v>
      </c>
      <c r="I848" t="s">
        <v>3071</v>
      </c>
      <c r="J848" t="s">
        <v>3921</v>
      </c>
      <c r="K848">
        <v>4</v>
      </c>
      <c r="L848" t="s">
        <v>4329</v>
      </c>
      <c r="M848" t="s">
        <v>4279</v>
      </c>
      <c r="N848">
        <v>719.72</v>
      </c>
      <c r="O848">
        <f t="shared" si="78"/>
        <v>719.72</v>
      </c>
      <c r="P848" t="str">
        <f t="shared" si="79"/>
        <v>Jul</v>
      </c>
      <c r="Q848" t="str">
        <f t="shared" si="80"/>
        <v>Q3</v>
      </c>
      <c r="R848" s="5" t="str">
        <f t="shared" si="81"/>
        <v>Large</v>
      </c>
      <c r="S848" s="5" t="str">
        <f t="shared" si="82"/>
        <v>Pending</v>
      </c>
      <c r="T848" s="5" t="str">
        <f t="shared" si="83"/>
        <v>Yes</v>
      </c>
    </row>
    <row r="849" spans="1:20"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c r="O849">
        <f t="shared" si="78"/>
        <v>1736.92</v>
      </c>
      <c r="P849" t="str">
        <f t="shared" si="79"/>
        <v>Nov</v>
      </c>
      <c r="Q849" t="str">
        <f t="shared" si="80"/>
        <v>Q4</v>
      </c>
      <c r="R849" s="5" t="str">
        <f t="shared" si="81"/>
        <v>Large</v>
      </c>
      <c r="S849" s="5" t="str">
        <f t="shared" si="82"/>
        <v>Pending</v>
      </c>
      <c r="T849" s="5" t="str">
        <f t="shared" si="83"/>
        <v>Yes</v>
      </c>
    </row>
    <row r="850" spans="1:20" x14ac:dyDescent="0.35">
      <c r="A850" t="s">
        <v>862</v>
      </c>
      <c r="B850" s="2">
        <v>44927</v>
      </c>
      <c r="C850" t="s">
        <v>2058</v>
      </c>
      <c r="D850" t="s">
        <v>2406</v>
      </c>
      <c r="E850">
        <v>2</v>
      </c>
      <c r="F850">
        <v>645.85</v>
      </c>
      <c r="G850" t="s">
        <v>2466</v>
      </c>
      <c r="H850" t="s">
        <v>3066</v>
      </c>
      <c r="I850" t="s">
        <v>3070</v>
      </c>
      <c r="J850" t="s">
        <v>3923</v>
      </c>
      <c r="K850">
        <v>5</v>
      </c>
      <c r="L850" t="s">
        <v>4329</v>
      </c>
      <c r="M850" t="s">
        <v>4279</v>
      </c>
      <c r="N850">
        <v>1291.7</v>
      </c>
      <c r="O850">
        <f t="shared" si="78"/>
        <v>1291.7</v>
      </c>
      <c r="P850" t="str">
        <f t="shared" si="79"/>
        <v>Jan</v>
      </c>
      <c r="Q850" t="str">
        <f t="shared" si="80"/>
        <v>Q1</v>
      </c>
      <c r="R850" s="5" t="str">
        <f t="shared" si="81"/>
        <v>Large</v>
      </c>
      <c r="S850" s="5" t="str">
        <f t="shared" si="82"/>
        <v>Pending</v>
      </c>
      <c r="T850" s="5" t="str">
        <f t="shared" si="83"/>
        <v>Yes</v>
      </c>
    </row>
    <row r="851" spans="1:20"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c r="O851">
        <f t="shared" si="78"/>
        <v>857.4</v>
      </c>
      <c r="P851" t="str">
        <f t="shared" si="79"/>
        <v>Jun</v>
      </c>
      <c r="Q851" t="str">
        <f t="shared" si="80"/>
        <v>Q2</v>
      </c>
      <c r="R851" s="5" t="str">
        <f t="shared" si="81"/>
        <v>Large</v>
      </c>
      <c r="S851" s="5" t="str">
        <f t="shared" si="82"/>
        <v>Pending</v>
      </c>
      <c r="T851" s="5" t="str">
        <f t="shared" si="83"/>
        <v>Yes</v>
      </c>
    </row>
    <row r="852" spans="1:20"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c r="O852">
        <f t="shared" si="78"/>
        <v>1915.5</v>
      </c>
      <c r="P852" t="str">
        <f t="shared" si="79"/>
        <v>Apr</v>
      </c>
      <c r="Q852" t="str">
        <f t="shared" si="80"/>
        <v>Q2</v>
      </c>
      <c r="R852" s="5" t="str">
        <f t="shared" si="81"/>
        <v>Large</v>
      </c>
      <c r="S852" s="5" t="str">
        <f t="shared" si="82"/>
        <v>Pending</v>
      </c>
      <c r="T852" s="5" t="str">
        <f t="shared" si="83"/>
        <v>Yes</v>
      </c>
    </row>
    <row r="853" spans="1:20"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c r="O853">
        <f t="shared" si="78"/>
        <v>365.57</v>
      </c>
      <c r="P853" t="str">
        <f t="shared" si="79"/>
        <v>Dec</v>
      </c>
      <c r="Q853" t="str">
        <f t="shared" si="80"/>
        <v>Q4</v>
      </c>
      <c r="R853" s="5" t="str">
        <f t="shared" si="81"/>
        <v>Medium</v>
      </c>
      <c r="S853" s="5" t="str">
        <f t="shared" si="82"/>
        <v>Pending</v>
      </c>
      <c r="T853" s="5" t="str">
        <f t="shared" si="83"/>
        <v>Yes</v>
      </c>
    </row>
    <row r="854" spans="1:20"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c r="O854">
        <f t="shared" si="78"/>
        <v>1704.1499999999999</v>
      </c>
      <c r="P854" t="str">
        <f t="shared" si="79"/>
        <v>Oct</v>
      </c>
      <c r="Q854" t="str">
        <f t="shared" si="80"/>
        <v>Q4</v>
      </c>
      <c r="R854" s="5" t="str">
        <f t="shared" si="81"/>
        <v>Large</v>
      </c>
      <c r="S854" s="5" t="str">
        <f t="shared" si="82"/>
        <v>Pending</v>
      </c>
      <c r="T854" s="5" t="str">
        <f t="shared" si="83"/>
        <v>Yes</v>
      </c>
    </row>
    <row r="855" spans="1:20"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c r="O855">
        <f t="shared" si="78"/>
        <v>1470.03</v>
      </c>
      <c r="P855" t="str">
        <f t="shared" si="79"/>
        <v>Oct</v>
      </c>
      <c r="Q855" t="str">
        <f t="shared" si="80"/>
        <v>Q4</v>
      </c>
      <c r="R855" s="5" t="str">
        <f t="shared" si="81"/>
        <v>Large</v>
      </c>
      <c r="S855" s="5" t="str">
        <f t="shared" si="82"/>
        <v>Pending</v>
      </c>
      <c r="T855" s="5" t="str">
        <f t="shared" si="83"/>
        <v>Yes</v>
      </c>
    </row>
    <row r="856" spans="1:20"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c r="O856">
        <f t="shared" si="78"/>
        <v>1117.8000000000002</v>
      </c>
      <c r="P856" t="str">
        <f t="shared" si="79"/>
        <v>Jun</v>
      </c>
      <c r="Q856" t="str">
        <f t="shared" si="80"/>
        <v>Q2</v>
      </c>
      <c r="R856" s="5" t="str">
        <f t="shared" si="81"/>
        <v>Large</v>
      </c>
      <c r="S856" s="5" t="str">
        <f t="shared" si="82"/>
        <v>Completed</v>
      </c>
      <c r="T856" s="5" t="str">
        <f t="shared" si="83"/>
        <v>Yes</v>
      </c>
    </row>
    <row r="857" spans="1:20"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c r="O857">
        <f t="shared" si="78"/>
        <v>1203.0500000000002</v>
      </c>
      <c r="P857" t="str">
        <f t="shared" si="79"/>
        <v>May</v>
      </c>
      <c r="Q857" t="str">
        <f t="shared" si="80"/>
        <v>Q2</v>
      </c>
      <c r="R857" s="5" t="str">
        <f t="shared" si="81"/>
        <v>Large</v>
      </c>
      <c r="S857" s="5" t="str">
        <f t="shared" si="82"/>
        <v>Pending</v>
      </c>
      <c r="T857" s="5" t="str">
        <f t="shared" si="83"/>
        <v>Yes</v>
      </c>
    </row>
    <row r="858" spans="1:20" x14ac:dyDescent="0.35">
      <c r="A858" t="s">
        <v>870</v>
      </c>
      <c r="B858" s="2">
        <v>45446</v>
      </c>
      <c r="C858" t="s">
        <v>2066</v>
      </c>
      <c r="D858" t="s">
        <v>2404</v>
      </c>
      <c r="E858">
        <v>1</v>
      </c>
      <c r="F858">
        <v>586.62</v>
      </c>
      <c r="G858" t="s">
        <v>2452</v>
      </c>
      <c r="H858" t="s">
        <v>3065</v>
      </c>
      <c r="I858" t="s">
        <v>3070</v>
      </c>
      <c r="J858" t="s">
        <v>3931</v>
      </c>
      <c r="K858">
        <v>5</v>
      </c>
      <c r="L858" t="s">
        <v>4329</v>
      </c>
      <c r="M858" t="s">
        <v>4281</v>
      </c>
      <c r="N858">
        <v>586.62</v>
      </c>
      <c r="O858">
        <f t="shared" si="78"/>
        <v>586.62</v>
      </c>
      <c r="P858" t="str">
        <f t="shared" si="79"/>
        <v>Jun</v>
      </c>
      <c r="Q858" t="str">
        <f t="shared" si="80"/>
        <v>Q2</v>
      </c>
      <c r="R858" s="5" t="str">
        <f t="shared" si="81"/>
        <v>Large</v>
      </c>
      <c r="S858" s="5" t="str">
        <f t="shared" si="82"/>
        <v>Pending</v>
      </c>
      <c r="T858" s="5" t="str">
        <f t="shared" si="83"/>
        <v>Yes</v>
      </c>
    </row>
    <row r="859" spans="1:20" x14ac:dyDescent="0.35">
      <c r="A859" t="s">
        <v>871</v>
      </c>
      <c r="B859" s="2">
        <v>45361</v>
      </c>
      <c r="C859" t="s">
        <v>2067</v>
      </c>
      <c r="D859" t="s">
        <v>2404</v>
      </c>
      <c r="E859">
        <v>3</v>
      </c>
      <c r="F859">
        <v>257.83999999999997</v>
      </c>
      <c r="G859" t="s">
        <v>2594</v>
      </c>
      <c r="H859" t="s">
        <v>3066</v>
      </c>
      <c r="I859" t="s">
        <v>3073</v>
      </c>
      <c r="J859" t="s">
        <v>3932</v>
      </c>
      <c r="K859">
        <v>4</v>
      </c>
      <c r="L859" t="s">
        <v>4329</v>
      </c>
      <c r="M859" t="s">
        <v>4278</v>
      </c>
      <c r="N859">
        <v>773.52</v>
      </c>
      <c r="O859">
        <f t="shared" si="78"/>
        <v>773.52</v>
      </c>
      <c r="P859" t="str">
        <f t="shared" si="79"/>
        <v>Mar</v>
      </c>
      <c r="Q859" t="str">
        <f t="shared" si="80"/>
        <v>Q1</v>
      </c>
      <c r="R859" s="5" t="str">
        <f t="shared" si="81"/>
        <v>Large</v>
      </c>
      <c r="S859" s="5" t="str">
        <f t="shared" si="82"/>
        <v>Completed</v>
      </c>
      <c r="T859" s="5" t="str">
        <f t="shared" si="83"/>
        <v>Yes</v>
      </c>
    </row>
    <row r="860" spans="1:20" x14ac:dyDescent="0.35">
      <c r="A860" t="s">
        <v>872</v>
      </c>
      <c r="B860" s="2">
        <v>45158</v>
      </c>
      <c r="C860" t="s">
        <v>2068</v>
      </c>
      <c r="D860" t="s">
        <v>2405</v>
      </c>
      <c r="E860">
        <v>5</v>
      </c>
      <c r="F860">
        <v>435.66</v>
      </c>
      <c r="G860" t="s">
        <v>2428</v>
      </c>
      <c r="H860" t="s">
        <v>3066</v>
      </c>
      <c r="I860" t="s">
        <v>3074</v>
      </c>
      <c r="J860" t="s">
        <v>3933</v>
      </c>
      <c r="K860">
        <v>9</v>
      </c>
      <c r="L860" t="s">
        <v>4329</v>
      </c>
      <c r="M860" t="s">
        <v>4281</v>
      </c>
      <c r="N860">
        <v>2178.3000000000002</v>
      </c>
      <c r="O860">
        <f t="shared" si="78"/>
        <v>2178.3000000000002</v>
      </c>
      <c r="P860" t="str">
        <f t="shared" si="79"/>
        <v>Aug</v>
      </c>
      <c r="Q860" t="str">
        <f t="shared" si="80"/>
        <v>Q3</v>
      </c>
      <c r="R860" s="5" t="str">
        <f t="shared" si="81"/>
        <v>Large</v>
      </c>
      <c r="S860" s="5" t="str">
        <f t="shared" si="82"/>
        <v>Pending</v>
      </c>
      <c r="T860" s="5" t="str">
        <f t="shared" si="83"/>
        <v>Yes</v>
      </c>
    </row>
    <row r="861" spans="1:20"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c r="O861">
        <f t="shared" si="78"/>
        <v>1306.6499999999999</v>
      </c>
      <c r="P861" t="str">
        <f t="shared" si="79"/>
        <v>Aug</v>
      </c>
      <c r="Q861" t="str">
        <f t="shared" si="80"/>
        <v>Q3</v>
      </c>
      <c r="R861" s="5" t="str">
        <f t="shared" si="81"/>
        <v>Large</v>
      </c>
      <c r="S861" s="5" t="str">
        <f t="shared" si="82"/>
        <v>Pending</v>
      </c>
      <c r="T861" s="5" t="str">
        <f t="shared" si="83"/>
        <v>Yes</v>
      </c>
    </row>
    <row r="862" spans="1:20"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c r="O862">
        <f t="shared" si="78"/>
        <v>422.54</v>
      </c>
      <c r="P862" t="str">
        <f t="shared" si="79"/>
        <v>Jan</v>
      </c>
      <c r="Q862" t="str">
        <f t="shared" si="80"/>
        <v>Q1</v>
      </c>
      <c r="R862" s="5" t="str">
        <f t="shared" si="81"/>
        <v>Medium</v>
      </c>
      <c r="S862" s="5" t="str">
        <f t="shared" si="82"/>
        <v>Completed</v>
      </c>
      <c r="T862" s="5" t="str">
        <f t="shared" si="83"/>
        <v>Yes</v>
      </c>
    </row>
    <row r="863" spans="1:20"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c r="O863">
        <f t="shared" si="78"/>
        <v>1652.25</v>
      </c>
      <c r="P863" t="str">
        <f t="shared" si="79"/>
        <v>Mar</v>
      </c>
      <c r="Q863" t="str">
        <f t="shared" si="80"/>
        <v>Q1</v>
      </c>
      <c r="R863" s="5" t="str">
        <f t="shared" si="81"/>
        <v>Large</v>
      </c>
      <c r="S863" s="5" t="str">
        <f t="shared" si="82"/>
        <v>Pending</v>
      </c>
      <c r="T863" s="5" t="str">
        <f t="shared" si="83"/>
        <v>Yes</v>
      </c>
    </row>
    <row r="864" spans="1:20"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c r="O864">
        <f t="shared" si="78"/>
        <v>362.46</v>
      </c>
      <c r="P864" t="str">
        <f t="shared" si="79"/>
        <v>Dec</v>
      </c>
      <c r="Q864" t="str">
        <f t="shared" si="80"/>
        <v>Q4</v>
      </c>
      <c r="R864" s="5" t="str">
        <f t="shared" si="81"/>
        <v>Medium</v>
      </c>
      <c r="S864" s="5" t="str">
        <f t="shared" si="82"/>
        <v>Pending</v>
      </c>
      <c r="T864" s="5" t="str">
        <f t="shared" si="83"/>
        <v>Yes</v>
      </c>
    </row>
    <row r="865" spans="1:20"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c r="O865">
        <f t="shared" si="78"/>
        <v>14.06</v>
      </c>
      <c r="P865" t="str">
        <f t="shared" si="79"/>
        <v>May</v>
      </c>
      <c r="Q865" t="str">
        <f t="shared" si="80"/>
        <v>Q2</v>
      </c>
      <c r="R865" s="5" t="str">
        <f t="shared" si="81"/>
        <v>Small</v>
      </c>
      <c r="S865" s="5" t="str">
        <f t="shared" si="82"/>
        <v>Pending</v>
      </c>
      <c r="T865" s="5" t="str">
        <f t="shared" si="83"/>
        <v>Yes</v>
      </c>
    </row>
    <row r="866" spans="1:20"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c r="O866">
        <f t="shared" si="78"/>
        <v>491.11</v>
      </c>
      <c r="P866" t="str">
        <f t="shared" si="79"/>
        <v>May</v>
      </c>
      <c r="Q866" t="str">
        <f t="shared" si="80"/>
        <v>Q2</v>
      </c>
      <c r="R866" s="5" t="str">
        <f t="shared" si="81"/>
        <v>Medium</v>
      </c>
      <c r="S866" s="5" t="str">
        <f t="shared" si="82"/>
        <v>Completed</v>
      </c>
      <c r="T866" s="5" t="str">
        <f t="shared" si="83"/>
        <v>Yes</v>
      </c>
    </row>
    <row r="867" spans="1:20"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c r="O867">
        <f t="shared" si="78"/>
        <v>2709.48</v>
      </c>
      <c r="P867" t="str">
        <f t="shared" si="79"/>
        <v>Apr</v>
      </c>
      <c r="Q867" t="str">
        <f t="shared" si="80"/>
        <v>Q2</v>
      </c>
      <c r="R867" s="5" t="str">
        <f t="shared" si="81"/>
        <v>Large</v>
      </c>
      <c r="S867" s="5" t="str">
        <f t="shared" si="82"/>
        <v>Pending</v>
      </c>
      <c r="T867" s="5" t="str">
        <f t="shared" si="83"/>
        <v>Yes</v>
      </c>
    </row>
    <row r="868" spans="1:20"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c r="O868">
        <f t="shared" si="78"/>
        <v>946.25</v>
      </c>
      <c r="P868" t="str">
        <f t="shared" si="79"/>
        <v>Jul</v>
      </c>
      <c r="Q868" t="str">
        <f t="shared" si="80"/>
        <v>Q3</v>
      </c>
      <c r="R868" s="5" t="str">
        <f t="shared" si="81"/>
        <v>Large</v>
      </c>
      <c r="S868" s="5" t="str">
        <f t="shared" si="82"/>
        <v>Pending</v>
      </c>
      <c r="T868" s="5" t="str">
        <f t="shared" si="83"/>
        <v>Yes</v>
      </c>
    </row>
    <row r="869" spans="1:20"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c r="O869">
        <f t="shared" si="78"/>
        <v>570.32000000000005</v>
      </c>
      <c r="P869" t="str">
        <f t="shared" si="79"/>
        <v>May</v>
      </c>
      <c r="Q869" t="str">
        <f t="shared" si="80"/>
        <v>Q2</v>
      </c>
      <c r="R869" s="5" t="str">
        <f t="shared" si="81"/>
        <v>Large</v>
      </c>
      <c r="S869" s="5" t="str">
        <f t="shared" si="82"/>
        <v>Completed</v>
      </c>
      <c r="T869" s="5" t="str">
        <f t="shared" si="83"/>
        <v>Yes</v>
      </c>
    </row>
    <row r="870" spans="1:20" x14ac:dyDescent="0.35">
      <c r="A870" t="s">
        <v>882</v>
      </c>
      <c r="B870" s="2">
        <v>45472</v>
      </c>
      <c r="C870" t="s">
        <v>2078</v>
      </c>
      <c r="D870" t="s">
        <v>2403</v>
      </c>
      <c r="E870">
        <v>4</v>
      </c>
      <c r="F870">
        <v>316.32</v>
      </c>
      <c r="G870" t="s">
        <v>2961</v>
      </c>
      <c r="H870" t="s">
        <v>3065</v>
      </c>
      <c r="I870" t="s">
        <v>3073</v>
      </c>
      <c r="J870" t="s">
        <v>3943</v>
      </c>
      <c r="K870">
        <v>7</v>
      </c>
      <c r="L870" t="s">
        <v>4329</v>
      </c>
      <c r="M870" t="s">
        <v>4281</v>
      </c>
      <c r="N870">
        <v>1265.28</v>
      </c>
      <c r="O870">
        <f t="shared" si="78"/>
        <v>1265.28</v>
      </c>
      <c r="P870" t="str">
        <f t="shared" si="79"/>
        <v>Jun</v>
      </c>
      <c r="Q870" t="str">
        <f t="shared" si="80"/>
        <v>Q2</v>
      </c>
      <c r="R870" s="5" t="str">
        <f t="shared" si="81"/>
        <v>Large</v>
      </c>
      <c r="S870" s="5" t="str">
        <f t="shared" si="82"/>
        <v>Completed</v>
      </c>
      <c r="T870" s="5" t="str">
        <f t="shared" si="83"/>
        <v>Yes</v>
      </c>
    </row>
    <row r="871" spans="1:20"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c r="O871">
        <f t="shared" si="78"/>
        <v>1067.9000000000001</v>
      </c>
      <c r="P871" t="str">
        <f t="shared" si="79"/>
        <v>Mar</v>
      </c>
      <c r="Q871" t="str">
        <f t="shared" si="80"/>
        <v>Q1</v>
      </c>
      <c r="R871" s="5" t="str">
        <f t="shared" si="81"/>
        <v>Large</v>
      </c>
      <c r="S871" s="5" t="str">
        <f t="shared" si="82"/>
        <v>Completed</v>
      </c>
      <c r="T871" s="5" t="str">
        <f t="shared" si="83"/>
        <v>Yes</v>
      </c>
    </row>
    <row r="872" spans="1:20"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c r="O872">
        <f t="shared" si="78"/>
        <v>1880.36</v>
      </c>
      <c r="P872" t="str">
        <f t="shared" si="79"/>
        <v>Jun</v>
      </c>
      <c r="Q872" t="str">
        <f t="shared" si="80"/>
        <v>Q2</v>
      </c>
      <c r="R872" s="5" t="str">
        <f t="shared" si="81"/>
        <v>Large</v>
      </c>
      <c r="S872" s="5" t="str">
        <f t="shared" si="82"/>
        <v>Completed</v>
      </c>
      <c r="T872" s="5" t="str">
        <f t="shared" si="83"/>
        <v>Yes</v>
      </c>
    </row>
    <row r="873" spans="1:20"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c r="O873">
        <f t="shared" si="78"/>
        <v>972.90000000000009</v>
      </c>
      <c r="P873" t="str">
        <f t="shared" si="79"/>
        <v>May</v>
      </c>
      <c r="Q873" t="str">
        <f t="shared" si="80"/>
        <v>Q2</v>
      </c>
      <c r="R873" s="5" t="str">
        <f t="shared" si="81"/>
        <v>Large</v>
      </c>
      <c r="S873" s="5" t="str">
        <f t="shared" si="82"/>
        <v>Pending</v>
      </c>
      <c r="T873" s="5" t="str">
        <f t="shared" si="83"/>
        <v>Yes</v>
      </c>
    </row>
    <row r="874" spans="1:20" x14ac:dyDescent="0.35">
      <c r="A874" t="s">
        <v>886</v>
      </c>
      <c r="B874" s="2">
        <v>45117</v>
      </c>
      <c r="C874" t="s">
        <v>2082</v>
      </c>
      <c r="D874" t="s">
        <v>2406</v>
      </c>
      <c r="E874">
        <v>4</v>
      </c>
      <c r="F874">
        <v>629.34</v>
      </c>
      <c r="G874" t="s">
        <v>2590</v>
      </c>
      <c r="H874" t="s">
        <v>3069</v>
      </c>
      <c r="I874" t="s">
        <v>3070</v>
      </c>
      <c r="J874" t="s">
        <v>3947</v>
      </c>
      <c r="K874">
        <v>7</v>
      </c>
      <c r="L874" t="s">
        <v>4329</v>
      </c>
      <c r="M874" t="s">
        <v>4280</v>
      </c>
      <c r="N874">
        <v>2517.36</v>
      </c>
      <c r="O874">
        <f t="shared" si="78"/>
        <v>2517.36</v>
      </c>
      <c r="P874" t="str">
        <f t="shared" si="79"/>
        <v>Jul</v>
      </c>
      <c r="Q874" t="str">
        <f t="shared" si="80"/>
        <v>Q3</v>
      </c>
      <c r="R874" s="5" t="str">
        <f t="shared" si="81"/>
        <v>Large</v>
      </c>
      <c r="S874" s="5" t="str">
        <f t="shared" si="82"/>
        <v>Pending</v>
      </c>
      <c r="T874" s="5" t="str">
        <f t="shared" si="83"/>
        <v>Yes</v>
      </c>
    </row>
    <row r="875" spans="1:20"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c r="O875">
        <f t="shared" si="78"/>
        <v>410.52</v>
      </c>
      <c r="P875" t="str">
        <f t="shared" si="79"/>
        <v>May</v>
      </c>
      <c r="Q875" t="str">
        <f t="shared" si="80"/>
        <v>Q2</v>
      </c>
      <c r="R875" s="5" t="str">
        <f t="shared" si="81"/>
        <v>Medium</v>
      </c>
      <c r="S875" s="5" t="str">
        <f t="shared" si="82"/>
        <v>Completed</v>
      </c>
      <c r="T875" s="5" t="str">
        <f t="shared" si="83"/>
        <v>Yes</v>
      </c>
    </row>
    <row r="876" spans="1:20"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c r="O876">
        <f t="shared" si="78"/>
        <v>977.8</v>
      </c>
      <c r="P876" t="str">
        <f t="shared" si="79"/>
        <v>Oct</v>
      </c>
      <c r="Q876" t="str">
        <f t="shared" si="80"/>
        <v>Q4</v>
      </c>
      <c r="R876" s="5" t="str">
        <f t="shared" si="81"/>
        <v>Large</v>
      </c>
      <c r="S876" s="5" t="str">
        <f t="shared" si="82"/>
        <v>Completed</v>
      </c>
      <c r="T876" s="5" t="str">
        <f t="shared" si="83"/>
        <v>Yes</v>
      </c>
    </row>
    <row r="877" spans="1:20"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c r="O877">
        <f t="shared" si="78"/>
        <v>666.94999999999993</v>
      </c>
      <c r="P877" t="str">
        <f t="shared" si="79"/>
        <v>Aug</v>
      </c>
      <c r="Q877" t="str">
        <f t="shared" si="80"/>
        <v>Q3</v>
      </c>
      <c r="R877" s="5" t="str">
        <f t="shared" si="81"/>
        <v>Large</v>
      </c>
      <c r="S877" s="5" t="str">
        <f t="shared" si="82"/>
        <v>Completed</v>
      </c>
      <c r="T877" s="5" t="str">
        <f t="shared" si="83"/>
        <v>Yes</v>
      </c>
    </row>
    <row r="878" spans="1:20"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c r="O878">
        <f t="shared" si="78"/>
        <v>3044.5499999999997</v>
      </c>
      <c r="P878" t="str">
        <f t="shared" si="79"/>
        <v>Jun</v>
      </c>
      <c r="Q878" t="str">
        <f t="shared" si="80"/>
        <v>Q2</v>
      </c>
      <c r="R878" s="5" t="str">
        <f t="shared" si="81"/>
        <v>Large</v>
      </c>
      <c r="S878" s="5" t="str">
        <f t="shared" si="82"/>
        <v>Pending</v>
      </c>
      <c r="T878" s="5" t="str">
        <f t="shared" si="83"/>
        <v>Yes</v>
      </c>
    </row>
    <row r="879" spans="1:20"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c r="O879">
        <f t="shared" si="78"/>
        <v>524.05999999999995</v>
      </c>
      <c r="P879" t="str">
        <f t="shared" si="79"/>
        <v>Jul</v>
      </c>
      <c r="Q879" t="str">
        <f t="shared" si="80"/>
        <v>Q3</v>
      </c>
      <c r="R879" s="5" t="str">
        <f t="shared" si="81"/>
        <v>Large</v>
      </c>
      <c r="S879" s="5" t="str">
        <f t="shared" si="82"/>
        <v>Pending</v>
      </c>
      <c r="T879" s="5" t="str">
        <f t="shared" si="83"/>
        <v>Yes</v>
      </c>
    </row>
    <row r="880" spans="1:20"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c r="O880">
        <f t="shared" si="78"/>
        <v>661.38</v>
      </c>
      <c r="P880" t="str">
        <f t="shared" si="79"/>
        <v>Jun</v>
      </c>
      <c r="Q880" t="str">
        <f t="shared" si="80"/>
        <v>Q2</v>
      </c>
      <c r="R880" s="5" t="str">
        <f t="shared" si="81"/>
        <v>Large</v>
      </c>
      <c r="S880" s="5" t="str">
        <f t="shared" si="82"/>
        <v>Pending</v>
      </c>
      <c r="T880" s="5" t="str">
        <f t="shared" si="83"/>
        <v>Yes</v>
      </c>
    </row>
    <row r="881" spans="1:20" x14ac:dyDescent="0.35">
      <c r="A881" t="s">
        <v>893</v>
      </c>
      <c r="B881" s="2">
        <v>45755</v>
      </c>
      <c r="C881" t="s">
        <v>2089</v>
      </c>
      <c r="D881" t="s">
        <v>2404</v>
      </c>
      <c r="E881">
        <v>2</v>
      </c>
      <c r="F881">
        <v>547.66999999999996</v>
      </c>
      <c r="G881" t="s">
        <v>2817</v>
      </c>
      <c r="H881" t="s">
        <v>3068</v>
      </c>
      <c r="I881" t="s">
        <v>3070</v>
      </c>
      <c r="J881" t="s">
        <v>3954</v>
      </c>
      <c r="K881">
        <v>3</v>
      </c>
      <c r="L881" t="s">
        <v>4329</v>
      </c>
      <c r="M881" t="s">
        <v>4278</v>
      </c>
      <c r="N881">
        <v>1095.3399999999999</v>
      </c>
      <c r="O881">
        <f t="shared" si="78"/>
        <v>1095.3399999999999</v>
      </c>
      <c r="P881" t="str">
        <f t="shared" si="79"/>
        <v>Apr</v>
      </c>
      <c r="Q881" t="str">
        <f t="shared" si="80"/>
        <v>Q2</v>
      </c>
      <c r="R881" s="5" t="str">
        <f t="shared" si="81"/>
        <v>Large</v>
      </c>
      <c r="S881" s="5" t="str">
        <f t="shared" si="82"/>
        <v>Pending</v>
      </c>
      <c r="T881" s="5" t="str">
        <f t="shared" si="83"/>
        <v>Yes</v>
      </c>
    </row>
    <row r="882" spans="1:20"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c r="O882">
        <f t="shared" si="78"/>
        <v>934.8</v>
      </c>
      <c r="P882" t="str">
        <f t="shared" si="79"/>
        <v>Mar</v>
      </c>
      <c r="Q882" t="str">
        <f t="shared" si="80"/>
        <v>Q1</v>
      </c>
      <c r="R882" s="5" t="str">
        <f t="shared" si="81"/>
        <v>Large</v>
      </c>
      <c r="S882" s="5" t="str">
        <f t="shared" si="82"/>
        <v>Pending</v>
      </c>
      <c r="T882" s="5" t="str">
        <f t="shared" si="83"/>
        <v>Yes</v>
      </c>
    </row>
    <row r="883" spans="1:20" x14ac:dyDescent="0.35">
      <c r="A883" t="s">
        <v>895</v>
      </c>
      <c r="B883" s="2">
        <v>44929</v>
      </c>
      <c r="C883" t="s">
        <v>2091</v>
      </c>
      <c r="D883" t="s">
        <v>2405</v>
      </c>
      <c r="E883">
        <v>2</v>
      </c>
      <c r="F883">
        <v>448.85</v>
      </c>
      <c r="G883" t="s">
        <v>2966</v>
      </c>
      <c r="H883" t="s">
        <v>3067</v>
      </c>
      <c r="I883" t="s">
        <v>3074</v>
      </c>
      <c r="J883" t="s">
        <v>3956</v>
      </c>
      <c r="K883">
        <v>6</v>
      </c>
      <c r="L883" t="s">
        <v>4329</v>
      </c>
      <c r="M883" t="s">
        <v>4278</v>
      </c>
      <c r="N883">
        <v>897.7</v>
      </c>
      <c r="O883">
        <f t="shared" si="78"/>
        <v>897.7</v>
      </c>
      <c r="P883" t="str">
        <f t="shared" si="79"/>
        <v>Jan</v>
      </c>
      <c r="Q883" t="str">
        <f t="shared" si="80"/>
        <v>Q1</v>
      </c>
      <c r="R883" s="5" t="str">
        <f t="shared" si="81"/>
        <v>Large</v>
      </c>
      <c r="S883" s="5" t="str">
        <f t="shared" si="82"/>
        <v>Pending</v>
      </c>
      <c r="T883" s="5" t="str">
        <f t="shared" si="83"/>
        <v>Yes</v>
      </c>
    </row>
    <row r="884" spans="1:20"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c r="O884">
        <f t="shared" si="78"/>
        <v>548.24</v>
      </c>
      <c r="P884" t="str">
        <f t="shared" si="79"/>
        <v>Jun</v>
      </c>
      <c r="Q884" t="str">
        <f t="shared" si="80"/>
        <v>Q2</v>
      </c>
      <c r="R884" s="5" t="str">
        <f t="shared" si="81"/>
        <v>Large</v>
      </c>
      <c r="S884" s="5" t="str">
        <f t="shared" si="82"/>
        <v>Completed</v>
      </c>
      <c r="T884" s="5" t="str">
        <f t="shared" si="83"/>
        <v>Yes</v>
      </c>
    </row>
    <row r="885" spans="1:20"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c r="O885">
        <f t="shared" si="78"/>
        <v>2807.4</v>
      </c>
      <c r="P885" t="str">
        <f t="shared" si="79"/>
        <v>May</v>
      </c>
      <c r="Q885" t="str">
        <f t="shared" si="80"/>
        <v>Q2</v>
      </c>
      <c r="R885" s="5" t="str">
        <f t="shared" si="81"/>
        <v>Large</v>
      </c>
      <c r="S885" s="5" t="str">
        <f t="shared" si="82"/>
        <v>Completed</v>
      </c>
      <c r="T885" s="5" t="str">
        <f t="shared" si="83"/>
        <v>Yes</v>
      </c>
    </row>
    <row r="886" spans="1:20" x14ac:dyDescent="0.35">
      <c r="A886" t="s">
        <v>898</v>
      </c>
      <c r="B886" s="2">
        <v>45427</v>
      </c>
      <c r="C886" t="s">
        <v>2094</v>
      </c>
      <c r="D886" t="s">
        <v>2406</v>
      </c>
      <c r="E886">
        <v>1</v>
      </c>
      <c r="F886">
        <v>595.54</v>
      </c>
      <c r="G886" t="s">
        <v>2968</v>
      </c>
      <c r="H886" t="s">
        <v>3068</v>
      </c>
      <c r="I886" t="s">
        <v>3070</v>
      </c>
      <c r="J886" t="s">
        <v>3959</v>
      </c>
      <c r="K886">
        <v>4</v>
      </c>
      <c r="L886" t="s">
        <v>4329</v>
      </c>
      <c r="M886" t="s">
        <v>4278</v>
      </c>
      <c r="N886">
        <v>595.54</v>
      </c>
      <c r="O886">
        <f t="shared" si="78"/>
        <v>595.54</v>
      </c>
      <c r="P886" t="str">
        <f t="shared" si="79"/>
        <v>May</v>
      </c>
      <c r="Q886" t="str">
        <f t="shared" si="80"/>
        <v>Q2</v>
      </c>
      <c r="R886" s="5" t="str">
        <f t="shared" si="81"/>
        <v>Large</v>
      </c>
      <c r="S886" s="5" t="str">
        <f t="shared" si="82"/>
        <v>Pending</v>
      </c>
      <c r="T886" s="5" t="str">
        <f t="shared" si="83"/>
        <v>Yes</v>
      </c>
    </row>
    <row r="887" spans="1:20"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c r="O887">
        <f t="shared" si="78"/>
        <v>2062.36</v>
      </c>
      <c r="P887" t="str">
        <f t="shared" si="79"/>
        <v>Apr</v>
      </c>
      <c r="Q887" t="str">
        <f t="shared" si="80"/>
        <v>Q2</v>
      </c>
      <c r="R887" s="5" t="str">
        <f t="shared" si="81"/>
        <v>Large</v>
      </c>
      <c r="S887" s="5" t="str">
        <f t="shared" si="82"/>
        <v>Pending</v>
      </c>
      <c r="T887" s="5" t="str">
        <f t="shared" si="83"/>
        <v>Yes</v>
      </c>
    </row>
    <row r="888" spans="1:20" x14ac:dyDescent="0.35">
      <c r="A888" t="s">
        <v>900</v>
      </c>
      <c r="B888" s="2">
        <v>45224</v>
      </c>
      <c r="C888" t="s">
        <v>2096</v>
      </c>
      <c r="D888" t="s">
        <v>2404</v>
      </c>
      <c r="E888">
        <v>1</v>
      </c>
      <c r="F888">
        <v>460.13</v>
      </c>
      <c r="G888" t="s">
        <v>2970</v>
      </c>
      <c r="H888" t="s">
        <v>3067</v>
      </c>
      <c r="I888" t="s">
        <v>3072</v>
      </c>
      <c r="J888" t="s">
        <v>3961</v>
      </c>
      <c r="K888">
        <v>1</v>
      </c>
      <c r="L888" t="s">
        <v>4329</v>
      </c>
      <c r="M888" t="s">
        <v>4282</v>
      </c>
      <c r="N888">
        <v>460.13</v>
      </c>
      <c r="O888">
        <f t="shared" si="78"/>
        <v>460.13</v>
      </c>
      <c r="P888" t="str">
        <f t="shared" si="79"/>
        <v>Oct</v>
      </c>
      <c r="Q888" t="str">
        <f t="shared" si="80"/>
        <v>Q4</v>
      </c>
      <c r="R888" s="5" t="str">
        <f t="shared" si="81"/>
        <v>Medium</v>
      </c>
      <c r="S888" s="5" t="str">
        <f t="shared" si="82"/>
        <v>Pending</v>
      </c>
      <c r="T888" s="5" t="str">
        <f t="shared" si="83"/>
        <v>Yes</v>
      </c>
    </row>
    <row r="889" spans="1:20" x14ac:dyDescent="0.35">
      <c r="A889" t="s">
        <v>901</v>
      </c>
      <c r="B889" s="2">
        <v>45645</v>
      </c>
      <c r="C889" t="s">
        <v>2097</v>
      </c>
      <c r="D889" t="s">
        <v>2406</v>
      </c>
      <c r="E889">
        <v>3</v>
      </c>
      <c r="F889">
        <v>171.66</v>
      </c>
      <c r="G889" t="s">
        <v>2971</v>
      </c>
      <c r="H889" t="s">
        <v>3065</v>
      </c>
      <c r="I889" t="s">
        <v>3073</v>
      </c>
      <c r="J889" t="s">
        <v>3962</v>
      </c>
      <c r="K889">
        <v>7</v>
      </c>
      <c r="L889" t="s">
        <v>4329</v>
      </c>
      <c r="M889" t="s">
        <v>4282</v>
      </c>
      <c r="N889">
        <v>514.98</v>
      </c>
      <c r="O889">
        <f t="shared" si="78"/>
        <v>514.98</v>
      </c>
      <c r="P889" t="str">
        <f t="shared" si="79"/>
        <v>Dec</v>
      </c>
      <c r="Q889" t="str">
        <f t="shared" si="80"/>
        <v>Q4</v>
      </c>
      <c r="R889" s="5" t="str">
        <f t="shared" si="81"/>
        <v>Large</v>
      </c>
      <c r="S889" s="5" t="str">
        <f t="shared" si="82"/>
        <v>Completed</v>
      </c>
      <c r="T889" s="5" t="str">
        <f t="shared" si="83"/>
        <v>Yes</v>
      </c>
    </row>
    <row r="890" spans="1:20" x14ac:dyDescent="0.35">
      <c r="A890" t="s">
        <v>902</v>
      </c>
      <c r="B890" s="2">
        <v>45496</v>
      </c>
      <c r="C890" t="s">
        <v>2098</v>
      </c>
      <c r="D890" t="s">
        <v>2408</v>
      </c>
      <c r="E890">
        <v>2</v>
      </c>
      <c r="F890">
        <v>266.95</v>
      </c>
      <c r="G890" t="s">
        <v>2972</v>
      </c>
      <c r="H890" t="s">
        <v>3067</v>
      </c>
      <c r="I890" t="s">
        <v>3074</v>
      </c>
      <c r="J890" t="s">
        <v>3963</v>
      </c>
      <c r="K890">
        <v>3</v>
      </c>
      <c r="L890" t="s">
        <v>4329</v>
      </c>
      <c r="M890" t="s">
        <v>4278</v>
      </c>
      <c r="N890">
        <v>533.9</v>
      </c>
      <c r="O890">
        <f t="shared" si="78"/>
        <v>533.9</v>
      </c>
      <c r="P890" t="str">
        <f t="shared" si="79"/>
        <v>Jul</v>
      </c>
      <c r="Q890" t="str">
        <f t="shared" si="80"/>
        <v>Q3</v>
      </c>
      <c r="R890" s="5" t="str">
        <f t="shared" si="81"/>
        <v>Large</v>
      </c>
      <c r="S890" s="5" t="str">
        <f t="shared" si="82"/>
        <v>Pending</v>
      </c>
      <c r="T890" s="5" t="str">
        <f t="shared" si="83"/>
        <v>Yes</v>
      </c>
    </row>
    <row r="891" spans="1:20"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c r="O891">
        <f t="shared" si="78"/>
        <v>3253.6000000000004</v>
      </c>
      <c r="P891" t="str">
        <f t="shared" si="79"/>
        <v>Oct</v>
      </c>
      <c r="Q891" t="str">
        <f t="shared" si="80"/>
        <v>Q4</v>
      </c>
      <c r="R891" s="5" t="str">
        <f t="shared" si="81"/>
        <v>Large</v>
      </c>
      <c r="S891" s="5" t="str">
        <f t="shared" si="82"/>
        <v>Pending</v>
      </c>
      <c r="T891" s="5" t="str">
        <f t="shared" si="83"/>
        <v>Yes</v>
      </c>
    </row>
    <row r="892" spans="1:20" x14ac:dyDescent="0.35">
      <c r="A892" t="s">
        <v>904</v>
      </c>
      <c r="B892" s="2">
        <v>45149</v>
      </c>
      <c r="C892" t="s">
        <v>2100</v>
      </c>
      <c r="D892" t="s">
        <v>2408</v>
      </c>
      <c r="E892">
        <v>3</v>
      </c>
      <c r="F892">
        <v>439.53</v>
      </c>
      <c r="G892" t="s">
        <v>2781</v>
      </c>
      <c r="H892" t="s">
        <v>3065</v>
      </c>
      <c r="I892" t="s">
        <v>3074</v>
      </c>
      <c r="J892" t="s">
        <v>3965</v>
      </c>
      <c r="K892">
        <v>5</v>
      </c>
      <c r="L892" t="s">
        <v>4329</v>
      </c>
      <c r="M892" t="s">
        <v>4282</v>
      </c>
      <c r="N892">
        <v>1318.59</v>
      </c>
      <c r="O892">
        <f t="shared" si="78"/>
        <v>1318.59</v>
      </c>
      <c r="P892" t="str">
        <f t="shared" si="79"/>
        <v>Aug</v>
      </c>
      <c r="Q892" t="str">
        <f t="shared" si="80"/>
        <v>Q3</v>
      </c>
      <c r="R892" s="5" t="str">
        <f t="shared" si="81"/>
        <v>Large</v>
      </c>
      <c r="S892" s="5" t="str">
        <f t="shared" si="82"/>
        <v>Pending</v>
      </c>
      <c r="T892" s="5" t="str">
        <f t="shared" si="83"/>
        <v>Yes</v>
      </c>
    </row>
    <row r="893" spans="1:20"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c r="O893">
        <f t="shared" si="78"/>
        <v>1963.62</v>
      </c>
      <c r="P893" t="str">
        <f t="shared" si="79"/>
        <v>Nov</v>
      </c>
      <c r="Q893" t="str">
        <f t="shared" si="80"/>
        <v>Q4</v>
      </c>
      <c r="R893" s="5" t="str">
        <f t="shared" si="81"/>
        <v>Large</v>
      </c>
      <c r="S893" s="5" t="str">
        <f t="shared" si="82"/>
        <v>Pending</v>
      </c>
      <c r="T893" s="5" t="str">
        <f t="shared" si="83"/>
        <v>Yes</v>
      </c>
    </row>
    <row r="894" spans="1:20"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c r="O894">
        <f t="shared" si="78"/>
        <v>394.53</v>
      </c>
      <c r="P894" t="str">
        <f t="shared" si="79"/>
        <v>Jun</v>
      </c>
      <c r="Q894" t="str">
        <f t="shared" si="80"/>
        <v>Q2</v>
      </c>
      <c r="R894" s="5" t="str">
        <f t="shared" si="81"/>
        <v>Medium</v>
      </c>
      <c r="S894" s="5" t="str">
        <f t="shared" si="82"/>
        <v>Pending</v>
      </c>
      <c r="T894" s="5" t="str">
        <f t="shared" si="83"/>
        <v>Yes</v>
      </c>
    </row>
    <row r="895" spans="1:20"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c r="O895">
        <f t="shared" si="78"/>
        <v>678.01</v>
      </c>
      <c r="P895" t="str">
        <f t="shared" si="79"/>
        <v>Mar</v>
      </c>
      <c r="Q895" t="str">
        <f t="shared" si="80"/>
        <v>Q1</v>
      </c>
      <c r="R895" s="5" t="str">
        <f t="shared" si="81"/>
        <v>Large</v>
      </c>
      <c r="S895" s="5" t="str">
        <f t="shared" si="82"/>
        <v>Pending</v>
      </c>
      <c r="T895" s="5" t="str">
        <f t="shared" si="83"/>
        <v>Yes</v>
      </c>
    </row>
    <row r="896" spans="1:20"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c r="O896">
        <f t="shared" si="78"/>
        <v>1725.03</v>
      </c>
      <c r="P896" t="str">
        <f t="shared" si="79"/>
        <v>May</v>
      </c>
      <c r="Q896" t="str">
        <f t="shared" si="80"/>
        <v>Q2</v>
      </c>
      <c r="R896" s="5" t="str">
        <f t="shared" si="81"/>
        <v>Large</v>
      </c>
      <c r="S896" s="5" t="str">
        <f t="shared" si="82"/>
        <v>Pending</v>
      </c>
      <c r="T896" s="5" t="str">
        <f t="shared" si="83"/>
        <v>Yes</v>
      </c>
    </row>
    <row r="897" spans="1:20"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c r="O897">
        <f t="shared" si="78"/>
        <v>463.91999999999996</v>
      </c>
      <c r="P897" t="str">
        <f t="shared" si="79"/>
        <v>Nov</v>
      </c>
      <c r="Q897" t="str">
        <f t="shared" si="80"/>
        <v>Q4</v>
      </c>
      <c r="R897" s="5" t="str">
        <f t="shared" si="81"/>
        <v>Medium</v>
      </c>
      <c r="S897" s="5" t="str">
        <f t="shared" si="82"/>
        <v>Pending</v>
      </c>
      <c r="T897" s="5" t="str">
        <f t="shared" si="83"/>
        <v>Yes</v>
      </c>
    </row>
    <row r="898" spans="1:20"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c r="O898">
        <f t="shared" ref="O898:O961" si="84">E898*F898</f>
        <v>441.87</v>
      </c>
      <c r="P898" t="str">
        <f t="shared" ref="P898:P961" si="85">TEXT(B898, "mmm")</f>
        <v>Oct</v>
      </c>
      <c r="Q898" t="str">
        <f t="shared" ref="Q898:Q961" si="86">"Q"&amp;ROUNDUP(MONTH(B898)/3,0)</f>
        <v>Q4</v>
      </c>
      <c r="R898" s="5" t="str">
        <f t="shared" ref="R898:R961" si="87">IF(N898&lt;100,"Small", IF(N898&lt;500, "Medium", "Large"))</f>
        <v>Medium</v>
      </c>
      <c r="S898" s="5" t="str">
        <f t="shared" ref="S898:S961" si="88">IF(I898="Delivered","Completed","Pending")</f>
        <v>Pending</v>
      </c>
      <c r="T898" s="5" t="str">
        <f t="shared" ref="T898:T961" si="89">IF(L898="","No", "Yes")</f>
        <v>Yes</v>
      </c>
    </row>
    <row r="899" spans="1:20"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c r="O899">
        <f t="shared" si="84"/>
        <v>1925.92</v>
      </c>
      <c r="P899" t="str">
        <f t="shared" si="85"/>
        <v>Sep</v>
      </c>
      <c r="Q899" t="str">
        <f t="shared" si="86"/>
        <v>Q3</v>
      </c>
      <c r="R899" s="5" t="str">
        <f t="shared" si="87"/>
        <v>Large</v>
      </c>
      <c r="S899" s="5" t="str">
        <f t="shared" si="88"/>
        <v>Completed</v>
      </c>
      <c r="T899" s="5" t="str">
        <f t="shared" si="89"/>
        <v>Yes</v>
      </c>
    </row>
    <row r="900" spans="1:20" x14ac:dyDescent="0.35">
      <c r="A900" t="s">
        <v>912</v>
      </c>
      <c r="B900" s="2">
        <v>45721</v>
      </c>
      <c r="C900" t="s">
        <v>2108</v>
      </c>
      <c r="D900" t="s">
        <v>2403</v>
      </c>
      <c r="E900">
        <v>3</v>
      </c>
      <c r="F900">
        <v>158.37</v>
      </c>
      <c r="G900" t="s">
        <v>2950</v>
      </c>
      <c r="H900" t="s">
        <v>3069</v>
      </c>
      <c r="I900" t="s">
        <v>3070</v>
      </c>
      <c r="J900" t="s">
        <v>3973</v>
      </c>
      <c r="K900">
        <v>6</v>
      </c>
      <c r="L900" t="s">
        <v>4329</v>
      </c>
      <c r="M900" t="s">
        <v>4279</v>
      </c>
      <c r="N900">
        <v>475.11</v>
      </c>
      <c r="O900">
        <f t="shared" si="84"/>
        <v>475.11</v>
      </c>
      <c r="P900" t="str">
        <f t="shared" si="85"/>
        <v>Mar</v>
      </c>
      <c r="Q900" t="str">
        <f t="shared" si="86"/>
        <v>Q1</v>
      </c>
      <c r="R900" s="5" t="str">
        <f t="shared" si="87"/>
        <v>Medium</v>
      </c>
      <c r="S900" s="5" t="str">
        <f t="shared" si="88"/>
        <v>Pending</v>
      </c>
      <c r="T900" s="5" t="str">
        <f t="shared" si="89"/>
        <v>Yes</v>
      </c>
    </row>
    <row r="901" spans="1:20"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c r="O901">
        <f t="shared" si="84"/>
        <v>646.74</v>
      </c>
      <c r="P901" t="str">
        <f t="shared" si="85"/>
        <v>Apr</v>
      </c>
      <c r="Q901" t="str">
        <f t="shared" si="86"/>
        <v>Q2</v>
      </c>
      <c r="R901" s="5" t="str">
        <f t="shared" si="87"/>
        <v>Large</v>
      </c>
      <c r="S901" s="5" t="str">
        <f t="shared" si="88"/>
        <v>Pending</v>
      </c>
      <c r="T901" s="5" t="str">
        <f t="shared" si="89"/>
        <v>Yes</v>
      </c>
    </row>
    <row r="902" spans="1:20" x14ac:dyDescent="0.35">
      <c r="A902" t="s">
        <v>914</v>
      </c>
      <c r="B902" s="2">
        <v>45695</v>
      </c>
      <c r="C902" t="s">
        <v>2110</v>
      </c>
      <c r="D902" t="s">
        <v>2408</v>
      </c>
      <c r="E902">
        <v>5</v>
      </c>
      <c r="F902">
        <v>73.83</v>
      </c>
      <c r="G902" t="s">
        <v>2802</v>
      </c>
      <c r="H902" t="s">
        <v>3065</v>
      </c>
      <c r="I902" t="s">
        <v>3074</v>
      </c>
      <c r="J902" t="s">
        <v>3975</v>
      </c>
      <c r="K902">
        <v>9</v>
      </c>
      <c r="L902" t="s">
        <v>4329</v>
      </c>
      <c r="M902" t="s">
        <v>4278</v>
      </c>
      <c r="N902">
        <v>369.15</v>
      </c>
      <c r="O902">
        <f t="shared" si="84"/>
        <v>369.15</v>
      </c>
      <c r="P902" t="str">
        <f t="shared" si="85"/>
        <v>Feb</v>
      </c>
      <c r="Q902" t="str">
        <f t="shared" si="86"/>
        <v>Q1</v>
      </c>
      <c r="R902" s="5" t="str">
        <f t="shared" si="87"/>
        <v>Medium</v>
      </c>
      <c r="S902" s="5" t="str">
        <f t="shared" si="88"/>
        <v>Pending</v>
      </c>
      <c r="T902" s="5" t="str">
        <f t="shared" si="89"/>
        <v>Yes</v>
      </c>
    </row>
    <row r="903" spans="1:20"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c r="O903">
        <f t="shared" si="84"/>
        <v>458.63</v>
      </c>
      <c r="P903" t="str">
        <f t="shared" si="85"/>
        <v>Apr</v>
      </c>
      <c r="Q903" t="str">
        <f t="shared" si="86"/>
        <v>Q2</v>
      </c>
      <c r="R903" s="5" t="str">
        <f t="shared" si="87"/>
        <v>Medium</v>
      </c>
      <c r="S903" s="5" t="str">
        <f t="shared" si="88"/>
        <v>Pending</v>
      </c>
      <c r="T903" s="5" t="str">
        <f t="shared" si="89"/>
        <v>Yes</v>
      </c>
    </row>
    <row r="904" spans="1:20" x14ac:dyDescent="0.35">
      <c r="A904" t="s">
        <v>916</v>
      </c>
      <c r="B904" s="2">
        <v>45486</v>
      </c>
      <c r="C904" t="s">
        <v>2112</v>
      </c>
      <c r="D904" t="s">
        <v>2403</v>
      </c>
      <c r="E904">
        <v>4</v>
      </c>
      <c r="F904">
        <v>180.25</v>
      </c>
      <c r="G904" t="s">
        <v>2469</v>
      </c>
      <c r="H904" t="s">
        <v>3065</v>
      </c>
      <c r="I904" t="s">
        <v>3071</v>
      </c>
      <c r="J904" t="s">
        <v>3977</v>
      </c>
      <c r="K904">
        <v>7</v>
      </c>
      <c r="L904" t="s">
        <v>4329</v>
      </c>
      <c r="M904" t="s">
        <v>4281</v>
      </c>
      <c r="N904">
        <v>721</v>
      </c>
      <c r="O904">
        <f t="shared" si="84"/>
        <v>721</v>
      </c>
      <c r="P904" t="str">
        <f t="shared" si="85"/>
        <v>Jul</v>
      </c>
      <c r="Q904" t="str">
        <f t="shared" si="86"/>
        <v>Q3</v>
      </c>
      <c r="R904" s="5" t="str">
        <f t="shared" si="87"/>
        <v>Large</v>
      </c>
      <c r="S904" s="5" t="str">
        <f t="shared" si="88"/>
        <v>Pending</v>
      </c>
      <c r="T904" s="5" t="str">
        <f t="shared" si="89"/>
        <v>Yes</v>
      </c>
    </row>
    <row r="905" spans="1:20" x14ac:dyDescent="0.35">
      <c r="A905" t="s">
        <v>917</v>
      </c>
      <c r="B905" s="2">
        <v>45063</v>
      </c>
      <c r="C905" t="s">
        <v>2113</v>
      </c>
      <c r="D905" t="s">
        <v>2403</v>
      </c>
      <c r="E905">
        <v>3</v>
      </c>
      <c r="F905">
        <v>473.49</v>
      </c>
      <c r="G905" t="s">
        <v>2932</v>
      </c>
      <c r="H905" t="s">
        <v>3067</v>
      </c>
      <c r="I905" t="s">
        <v>3074</v>
      </c>
      <c r="J905" t="s">
        <v>3978</v>
      </c>
      <c r="K905">
        <v>7</v>
      </c>
      <c r="L905" t="s">
        <v>4329</v>
      </c>
      <c r="M905" t="s">
        <v>4280</v>
      </c>
      <c r="N905">
        <v>1420.47</v>
      </c>
      <c r="O905">
        <f t="shared" si="84"/>
        <v>1420.47</v>
      </c>
      <c r="P905" t="str">
        <f t="shared" si="85"/>
        <v>May</v>
      </c>
      <c r="Q905" t="str">
        <f t="shared" si="86"/>
        <v>Q2</v>
      </c>
      <c r="R905" s="5" t="str">
        <f t="shared" si="87"/>
        <v>Large</v>
      </c>
      <c r="S905" s="5" t="str">
        <f t="shared" si="88"/>
        <v>Pending</v>
      </c>
      <c r="T905" s="5" t="str">
        <f t="shared" si="89"/>
        <v>Yes</v>
      </c>
    </row>
    <row r="906" spans="1:20"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c r="O906">
        <f t="shared" si="84"/>
        <v>949.72</v>
      </c>
      <c r="P906" t="str">
        <f t="shared" si="85"/>
        <v>Feb</v>
      </c>
      <c r="Q906" t="str">
        <f t="shared" si="86"/>
        <v>Q1</v>
      </c>
      <c r="R906" s="5" t="str">
        <f t="shared" si="87"/>
        <v>Large</v>
      </c>
      <c r="S906" s="5" t="str">
        <f t="shared" si="88"/>
        <v>Pending</v>
      </c>
      <c r="T906" s="5" t="str">
        <f t="shared" si="89"/>
        <v>Yes</v>
      </c>
    </row>
    <row r="907" spans="1:20"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c r="O907">
        <f t="shared" si="84"/>
        <v>442.39</v>
      </c>
      <c r="P907" t="str">
        <f t="shared" si="85"/>
        <v>Nov</v>
      </c>
      <c r="Q907" t="str">
        <f t="shared" si="86"/>
        <v>Q4</v>
      </c>
      <c r="R907" s="5" t="str">
        <f t="shared" si="87"/>
        <v>Medium</v>
      </c>
      <c r="S907" s="5" t="str">
        <f t="shared" si="88"/>
        <v>Pending</v>
      </c>
      <c r="T907" s="5" t="str">
        <f t="shared" si="89"/>
        <v>Yes</v>
      </c>
    </row>
    <row r="908" spans="1:20" x14ac:dyDescent="0.35">
      <c r="A908" t="s">
        <v>920</v>
      </c>
      <c r="B908" s="2">
        <v>45538</v>
      </c>
      <c r="C908" t="s">
        <v>2116</v>
      </c>
      <c r="D908" t="s">
        <v>2403</v>
      </c>
      <c r="E908">
        <v>1</v>
      </c>
      <c r="F908">
        <v>62.12</v>
      </c>
      <c r="G908" t="s">
        <v>2977</v>
      </c>
      <c r="H908" t="s">
        <v>3069</v>
      </c>
      <c r="I908" t="s">
        <v>3072</v>
      </c>
      <c r="J908" t="s">
        <v>3981</v>
      </c>
      <c r="K908">
        <v>2</v>
      </c>
      <c r="L908" t="s">
        <v>4329</v>
      </c>
      <c r="M908" t="s">
        <v>4280</v>
      </c>
      <c r="N908">
        <v>62.12</v>
      </c>
      <c r="O908">
        <f t="shared" si="84"/>
        <v>62.12</v>
      </c>
      <c r="P908" t="str">
        <f t="shared" si="85"/>
        <v>Sep</v>
      </c>
      <c r="Q908" t="str">
        <f t="shared" si="86"/>
        <v>Q3</v>
      </c>
      <c r="R908" s="5" t="str">
        <f t="shared" si="87"/>
        <v>Small</v>
      </c>
      <c r="S908" s="5" t="str">
        <f t="shared" si="88"/>
        <v>Pending</v>
      </c>
      <c r="T908" s="5" t="str">
        <f t="shared" si="89"/>
        <v>Yes</v>
      </c>
    </row>
    <row r="909" spans="1:20"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c r="O909">
        <f t="shared" si="84"/>
        <v>1491.9499999999998</v>
      </c>
      <c r="P909" t="str">
        <f t="shared" si="85"/>
        <v>Aug</v>
      </c>
      <c r="Q909" t="str">
        <f t="shared" si="86"/>
        <v>Q3</v>
      </c>
      <c r="R909" s="5" t="str">
        <f t="shared" si="87"/>
        <v>Large</v>
      </c>
      <c r="S909" s="5" t="str">
        <f t="shared" si="88"/>
        <v>Pending</v>
      </c>
      <c r="T909" s="5" t="str">
        <f t="shared" si="89"/>
        <v>Yes</v>
      </c>
    </row>
    <row r="910" spans="1:20"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c r="O910">
        <f t="shared" si="84"/>
        <v>1395.86</v>
      </c>
      <c r="P910" t="str">
        <f t="shared" si="85"/>
        <v>May</v>
      </c>
      <c r="Q910" t="str">
        <f t="shared" si="86"/>
        <v>Q2</v>
      </c>
      <c r="R910" s="5" t="str">
        <f t="shared" si="87"/>
        <v>Large</v>
      </c>
      <c r="S910" s="5" t="str">
        <f t="shared" si="88"/>
        <v>Pending</v>
      </c>
      <c r="T910" s="5" t="str">
        <f t="shared" si="89"/>
        <v>Yes</v>
      </c>
    </row>
    <row r="911" spans="1:20"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c r="O911">
        <f t="shared" si="84"/>
        <v>583.70000000000005</v>
      </c>
      <c r="P911" t="str">
        <f t="shared" si="85"/>
        <v>May</v>
      </c>
      <c r="Q911" t="str">
        <f t="shared" si="86"/>
        <v>Q2</v>
      </c>
      <c r="R911" s="5" t="str">
        <f t="shared" si="87"/>
        <v>Large</v>
      </c>
      <c r="S911" s="5" t="str">
        <f t="shared" si="88"/>
        <v>Pending</v>
      </c>
      <c r="T911" s="5" t="str">
        <f t="shared" si="89"/>
        <v>Yes</v>
      </c>
    </row>
    <row r="912" spans="1:20"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c r="O912">
        <f t="shared" si="84"/>
        <v>926.94</v>
      </c>
      <c r="P912" t="str">
        <f t="shared" si="85"/>
        <v>May</v>
      </c>
      <c r="Q912" t="str">
        <f t="shared" si="86"/>
        <v>Q2</v>
      </c>
      <c r="R912" s="5" t="str">
        <f t="shared" si="87"/>
        <v>Large</v>
      </c>
      <c r="S912" s="5" t="str">
        <f t="shared" si="88"/>
        <v>Completed</v>
      </c>
      <c r="T912" s="5" t="str">
        <f t="shared" si="89"/>
        <v>Yes</v>
      </c>
    </row>
    <row r="913" spans="1:20"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c r="O913">
        <f t="shared" si="84"/>
        <v>1984.3000000000002</v>
      </c>
      <c r="P913" t="str">
        <f t="shared" si="85"/>
        <v>Aug</v>
      </c>
      <c r="Q913" t="str">
        <f t="shared" si="86"/>
        <v>Q3</v>
      </c>
      <c r="R913" s="5" t="str">
        <f t="shared" si="87"/>
        <v>Large</v>
      </c>
      <c r="S913" s="5" t="str">
        <f t="shared" si="88"/>
        <v>Pending</v>
      </c>
      <c r="T913" s="5" t="str">
        <f t="shared" si="89"/>
        <v>Yes</v>
      </c>
    </row>
    <row r="914" spans="1:20"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c r="O914">
        <f t="shared" si="84"/>
        <v>279.38</v>
      </c>
      <c r="P914" t="str">
        <f t="shared" si="85"/>
        <v>Jan</v>
      </c>
      <c r="Q914" t="str">
        <f t="shared" si="86"/>
        <v>Q1</v>
      </c>
      <c r="R914" s="5" t="str">
        <f t="shared" si="87"/>
        <v>Medium</v>
      </c>
      <c r="S914" s="5" t="str">
        <f t="shared" si="88"/>
        <v>Pending</v>
      </c>
      <c r="T914" s="5" t="str">
        <f t="shared" si="89"/>
        <v>Yes</v>
      </c>
    </row>
    <row r="915" spans="1:20"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c r="O915">
        <f t="shared" si="84"/>
        <v>2379.75</v>
      </c>
      <c r="P915" t="str">
        <f t="shared" si="85"/>
        <v>Feb</v>
      </c>
      <c r="Q915" t="str">
        <f t="shared" si="86"/>
        <v>Q1</v>
      </c>
      <c r="R915" s="5" t="str">
        <f t="shared" si="87"/>
        <v>Large</v>
      </c>
      <c r="S915" s="5" t="str">
        <f t="shared" si="88"/>
        <v>Pending</v>
      </c>
      <c r="T915" s="5" t="str">
        <f t="shared" si="89"/>
        <v>Yes</v>
      </c>
    </row>
    <row r="916" spans="1:20"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c r="O916">
        <f t="shared" si="84"/>
        <v>626.6</v>
      </c>
      <c r="P916" t="str">
        <f t="shared" si="85"/>
        <v>Feb</v>
      </c>
      <c r="Q916" t="str">
        <f t="shared" si="86"/>
        <v>Q1</v>
      </c>
      <c r="R916" s="5" t="str">
        <f t="shared" si="87"/>
        <v>Large</v>
      </c>
      <c r="S916" s="5" t="str">
        <f t="shared" si="88"/>
        <v>Pending</v>
      </c>
      <c r="T916" s="5" t="str">
        <f t="shared" si="89"/>
        <v>Yes</v>
      </c>
    </row>
    <row r="917" spans="1:20"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c r="O917">
        <f t="shared" si="84"/>
        <v>2011.96</v>
      </c>
      <c r="P917" t="str">
        <f t="shared" si="85"/>
        <v>Feb</v>
      </c>
      <c r="Q917" t="str">
        <f t="shared" si="86"/>
        <v>Q1</v>
      </c>
      <c r="R917" s="5" t="str">
        <f t="shared" si="87"/>
        <v>Large</v>
      </c>
      <c r="S917" s="5" t="str">
        <f t="shared" si="88"/>
        <v>Pending</v>
      </c>
      <c r="T917" s="5" t="str">
        <f t="shared" si="89"/>
        <v>Yes</v>
      </c>
    </row>
    <row r="918" spans="1:20" x14ac:dyDescent="0.35">
      <c r="A918" t="s">
        <v>930</v>
      </c>
      <c r="B918" s="2">
        <v>45464</v>
      </c>
      <c r="C918" t="s">
        <v>2126</v>
      </c>
      <c r="D918" t="s">
        <v>2407</v>
      </c>
      <c r="E918">
        <v>5</v>
      </c>
      <c r="F918">
        <v>578.83000000000004</v>
      </c>
      <c r="G918" t="s">
        <v>2913</v>
      </c>
      <c r="H918" t="s">
        <v>3069</v>
      </c>
      <c r="I918" t="s">
        <v>3072</v>
      </c>
      <c r="J918" t="s">
        <v>3991</v>
      </c>
      <c r="K918">
        <v>6</v>
      </c>
      <c r="L918" t="s">
        <v>4329</v>
      </c>
      <c r="M918" t="s">
        <v>4279</v>
      </c>
      <c r="N918">
        <v>2894.15</v>
      </c>
      <c r="O918">
        <f t="shared" si="84"/>
        <v>2894.15</v>
      </c>
      <c r="P918" t="str">
        <f t="shared" si="85"/>
        <v>Jun</v>
      </c>
      <c r="Q918" t="str">
        <f t="shared" si="86"/>
        <v>Q2</v>
      </c>
      <c r="R918" s="5" t="str">
        <f t="shared" si="87"/>
        <v>Large</v>
      </c>
      <c r="S918" s="5" t="str">
        <f t="shared" si="88"/>
        <v>Pending</v>
      </c>
      <c r="T918" s="5" t="str">
        <f t="shared" si="89"/>
        <v>Yes</v>
      </c>
    </row>
    <row r="919" spans="1:20"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c r="O919">
        <f t="shared" si="84"/>
        <v>1919.1</v>
      </c>
      <c r="P919" t="str">
        <f t="shared" si="85"/>
        <v>Jan</v>
      </c>
      <c r="Q919" t="str">
        <f t="shared" si="86"/>
        <v>Q1</v>
      </c>
      <c r="R919" s="5" t="str">
        <f t="shared" si="87"/>
        <v>Large</v>
      </c>
      <c r="S919" s="5" t="str">
        <f t="shared" si="88"/>
        <v>Pending</v>
      </c>
      <c r="T919" s="5" t="str">
        <f t="shared" si="89"/>
        <v>Yes</v>
      </c>
    </row>
    <row r="920" spans="1:20" x14ac:dyDescent="0.35">
      <c r="A920" t="s">
        <v>932</v>
      </c>
      <c r="B920" s="2">
        <v>45832</v>
      </c>
      <c r="C920" t="s">
        <v>2128</v>
      </c>
      <c r="D920" t="s">
        <v>2408</v>
      </c>
      <c r="E920">
        <v>5</v>
      </c>
      <c r="F920">
        <v>368.25</v>
      </c>
      <c r="G920" t="s">
        <v>2417</v>
      </c>
      <c r="H920" t="s">
        <v>3066</v>
      </c>
      <c r="I920" t="s">
        <v>3073</v>
      </c>
      <c r="J920" t="s">
        <v>3993</v>
      </c>
      <c r="K920">
        <v>5</v>
      </c>
      <c r="L920" t="s">
        <v>4329</v>
      </c>
      <c r="M920" t="s">
        <v>4278</v>
      </c>
      <c r="N920">
        <v>1841.25</v>
      </c>
      <c r="O920">
        <f t="shared" si="84"/>
        <v>1841.25</v>
      </c>
      <c r="P920" t="str">
        <f t="shared" si="85"/>
        <v>Jun</v>
      </c>
      <c r="Q920" t="str">
        <f t="shared" si="86"/>
        <v>Q2</v>
      </c>
      <c r="R920" s="5" t="str">
        <f t="shared" si="87"/>
        <v>Large</v>
      </c>
      <c r="S920" s="5" t="str">
        <f t="shared" si="88"/>
        <v>Completed</v>
      </c>
      <c r="T920" s="5" t="str">
        <f t="shared" si="89"/>
        <v>Yes</v>
      </c>
    </row>
    <row r="921" spans="1:20"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c r="O921">
        <f t="shared" si="84"/>
        <v>749.2</v>
      </c>
      <c r="P921" t="str">
        <f t="shared" si="85"/>
        <v>Feb</v>
      </c>
      <c r="Q921" t="str">
        <f t="shared" si="86"/>
        <v>Q1</v>
      </c>
      <c r="R921" s="5" t="str">
        <f t="shared" si="87"/>
        <v>Large</v>
      </c>
      <c r="S921" s="5" t="str">
        <f t="shared" si="88"/>
        <v>Pending</v>
      </c>
      <c r="T921" s="5" t="str">
        <f t="shared" si="89"/>
        <v>Yes</v>
      </c>
    </row>
    <row r="922" spans="1:20" x14ac:dyDescent="0.35">
      <c r="A922" t="s">
        <v>934</v>
      </c>
      <c r="B922" s="2">
        <v>45728</v>
      </c>
      <c r="C922" t="s">
        <v>2130</v>
      </c>
      <c r="D922" t="s">
        <v>2405</v>
      </c>
      <c r="E922">
        <v>2</v>
      </c>
      <c r="F922">
        <v>428.09</v>
      </c>
      <c r="G922" t="s">
        <v>2674</v>
      </c>
      <c r="H922" t="s">
        <v>3067</v>
      </c>
      <c r="I922" t="s">
        <v>3072</v>
      </c>
      <c r="J922" t="s">
        <v>3995</v>
      </c>
      <c r="K922">
        <v>6</v>
      </c>
      <c r="L922" t="s">
        <v>4329</v>
      </c>
      <c r="M922" t="s">
        <v>4278</v>
      </c>
      <c r="N922">
        <v>856.18</v>
      </c>
      <c r="O922">
        <f t="shared" si="84"/>
        <v>856.18</v>
      </c>
      <c r="P922" t="str">
        <f t="shared" si="85"/>
        <v>Mar</v>
      </c>
      <c r="Q922" t="str">
        <f t="shared" si="86"/>
        <v>Q1</v>
      </c>
      <c r="R922" s="5" t="str">
        <f t="shared" si="87"/>
        <v>Large</v>
      </c>
      <c r="S922" s="5" t="str">
        <f t="shared" si="88"/>
        <v>Pending</v>
      </c>
      <c r="T922" s="5" t="str">
        <f t="shared" si="89"/>
        <v>Yes</v>
      </c>
    </row>
    <row r="923" spans="1:20"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c r="O923">
        <f t="shared" si="84"/>
        <v>438.93</v>
      </c>
      <c r="P923" t="str">
        <f t="shared" si="85"/>
        <v>Jul</v>
      </c>
      <c r="Q923" t="str">
        <f t="shared" si="86"/>
        <v>Q3</v>
      </c>
      <c r="R923" s="5" t="str">
        <f t="shared" si="87"/>
        <v>Medium</v>
      </c>
      <c r="S923" s="5" t="str">
        <f t="shared" si="88"/>
        <v>Pending</v>
      </c>
      <c r="T923" s="5" t="str">
        <f t="shared" si="89"/>
        <v>Yes</v>
      </c>
    </row>
    <row r="924" spans="1:20" x14ac:dyDescent="0.35">
      <c r="A924" t="s">
        <v>936</v>
      </c>
      <c r="B924" s="2">
        <v>45460</v>
      </c>
      <c r="C924" t="s">
        <v>2132</v>
      </c>
      <c r="D924" t="s">
        <v>2409</v>
      </c>
      <c r="E924">
        <v>2</v>
      </c>
      <c r="F924">
        <v>563.82000000000005</v>
      </c>
      <c r="G924" t="s">
        <v>2981</v>
      </c>
      <c r="H924" t="s">
        <v>3067</v>
      </c>
      <c r="I924" t="s">
        <v>3074</v>
      </c>
      <c r="J924" t="s">
        <v>3997</v>
      </c>
      <c r="K924">
        <v>3</v>
      </c>
      <c r="L924" t="s">
        <v>4329</v>
      </c>
      <c r="M924" t="s">
        <v>4278</v>
      </c>
      <c r="N924">
        <v>1127.6400000000001</v>
      </c>
      <c r="O924">
        <f t="shared" si="84"/>
        <v>1127.6400000000001</v>
      </c>
      <c r="P924" t="str">
        <f t="shared" si="85"/>
        <v>Jun</v>
      </c>
      <c r="Q924" t="str">
        <f t="shared" si="86"/>
        <v>Q2</v>
      </c>
      <c r="R924" s="5" t="str">
        <f t="shared" si="87"/>
        <v>Large</v>
      </c>
      <c r="S924" s="5" t="str">
        <f t="shared" si="88"/>
        <v>Pending</v>
      </c>
      <c r="T924" s="5" t="str">
        <f t="shared" si="89"/>
        <v>Yes</v>
      </c>
    </row>
    <row r="925" spans="1:20"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c r="O925">
        <f t="shared" si="84"/>
        <v>1949.79</v>
      </c>
      <c r="P925" t="str">
        <f t="shared" si="85"/>
        <v>Feb</v>
      </c>
      <c r="Q925" t="str">
        <f t="shared" si="86"/>
        <v>Q1</v>
      </c>
      <c r="R925" s="5" t="str">
        <f t="shared" si="87"/>
        <v>Large</v>
      </c>
      <c r="S925" s="5" t="str">
        <f t="shared" si="88"/>
        <v>Pending</v>
      </c>
      <c r="T925" s="5" t="str">
        <f t="shared" si="89"/>
        <v>Yes</v>
      </c>
    </row>
    <row r="926" spans="1:20"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c r="O926">
        <f t="shared" si="84"/>
        <v>1342.15</v>
      </c>
      <c r="P926" t="str">
        <f t="shared" si="85"/>
        <v>Mar</v>
      </c>
      <c r="Q926" t="str">
        <f t="shared" si="86"/>
        <v>Q1</v>
      </c>
      <c r="R926" s="5" t="str">
        <f t="shared" si="87"/>
        <v>Large</v>
      </c>
      <c r="S926" s="5" t="str">
        <f t="shared" si="88"/>
        <v>Pending</v>
      </c>
      <c r="T926" s="5" t="str">
        <f t="shared" si="89"/>
        <v>Yes</v>
      </c>
    </row>
    <row r="927" spans="1:20"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c r="O927">
        <f t="shared" si="84"/>
        <v>2512.3500000000004</v>
      </c>
      <c r="P927" t="str">
        <f t="shared" si="85"/>
        <v>Dec</v>
      </c>
      <c r="Q927" t="str">
        <f t="shared" si="86"/>
        <v>Q4</v>
      </c>
      <c r="R927" s="5" t="str">
        <f t="shared" si="87"/>
        <v>Large</v>
      </c>
      <c r="S927" s="5" t="str">
        <f t="shared" si="88"/>
        <v>Pending</v>
      </c>
      <c r="T927" s="5" t="str">
        <f t="shared" si="89"/>
        <v>Yes</v>
      </c>
    </row>
    <row r="928" spans="1:20"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c r="O928">
        <f t="shared" si="84"/>
        <v>26.95</v>
      </c>
      <c r="P928" t="str">
        <f t="shared" si="85"/>
        <v>Mar</v>
      </c>
      <c r="Q928" t="str">
        <f t="shared" si="86"/>
        <v>Q1</v>
      </c>
      <c r="R928" s="5" t="str">
        <f t="shared" si="87"/>
        <v>Small</v>
      </c>
      <c r="S928" s="5" t="str">
        <f t="shared" si="88"/>
        <v>Completed</v>
      </c>
      <c r="T928" s="5" t="str">
        <f t="shared" si="89"/>
        <v>Yes</v>
      </c>
    </row>
    <row r="929" spans="1:20"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c r="O929">
        <f t="shared" si="84"/>
        <v>258.76</v>
      </c>
      <c r="P929" t="str">
        <f t="shared" si="85"/>
        <v>Feb</v>
      </c>
      <c r="Q929" t="str">
        <f t="shared" si="86"/>
        <v>Q1</v>
      </c>
      <c r="R929" s="5" t="str">
        <f t="shared" si="87"/>
        <v>Medium</v>
      </c>
      <c r="S929" s="5" t="str">
        <f t="shared" si="88"/>
        <v>Pending</v>
      </c>
      <c r="T929" s="5" t="str">
        <f t="shared" si="89"/>
        <v>Yes</v>
      </c>
    </row>
    <row r="930" spans="1:20"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c r="O930">
        <f t="shared" si="84"/>
        <v>741.33</v>
      </c>
      <c r="P930" t="str">
        <f t="shared" si="85"/>
        <v>May</v>
      </c>
      <c r="Q930" t="str">
        <f t="shared" si="86"/>
        <v>Q2</v>
      </c>
      <c r="R930" s="5" t="str">
        <f t="shared" si="87"/>
        <v>Large</v>
      </c>
      <c r="S930" s="5" t="str">
        <f t="shared" si="88"/>
        <v>Pending</v>
      </c>
      <c r="T930" s="5" t="str">
        <f t="shared" si="89"/>
        <v>Yes</v>
      </c>
    </row>
    <row r="931" spans="1:20" x14ac:dyDescent="0.35">
      <c r="A931" t="s">
        <v>943</v>
      </c>
      <c r="B931" s="2">
        <v>45581</v>
      </c>
      <c r="C931" t="s">
        <v>2139</v>
      </c>
      <c r="D931" t="s">
        <v>2405</v>
      </c>
      <c r="E931">
        <v>2</v>
      </c>
      <c r="F931">
        <v>536.25</v>
      </c>
      <c r="G931" t="s">
        <v>2568</v>
      </c>
      <c r="H931" t="s">
        <v>3065</v>
      </c>
      <c r="I931" t="s">
        <v>3074</v>
      </c>
      <c r="J931" t="s">
        <v>4004</v>
      </c>
      <c r="K931">
        <v>3</v>
      </c>
      <c r="L931" t="s">
        <v>4329</v>
      </c>
      <c r="M931" t="s">
        <v>4280</v>
      </c>
      <c r="N931">
        <v>1072.5</v>
      </c>
      <c r="O931">
        <f t="shared" si="84"/>
        <v>1072.5</v>
      </c>
      <c r="P931" t="str">
        <f t="shared" si="85"/>
        <v>Oct</v>
      </c>
      <c r="Q931" t="str">
        <f t="shared" si="86"/>
        <v>Q4</v>
      </c>
      <c r="R931" s="5" t="str">
        <f t="shared" si="87"/>
        <v>Large</v>
      </c>
      <c r="S931" s="5" t="str">
        <f t="shared" si="88"/>
        <v>Pending</v>
      </c>
      <c r="T931" s="5" t="str">
        <f t="shared" si="89"/>
        <v>Yes</v>
      </c>
    </row>
    <row r="932" spans="1:20"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c r="O932">
        <f t="shared" si="84"/>
        <v>912.08</v>
      </c>
      <c r="P932" t="str">
        <f t="shared" si="85"/>
        <v>Dec</v>
      </c>
      <c r="Q932" t="str">
        <f t="shared" si="86"/>
        <v>Q4</v>
      </c>
      <c r="R932" s="5" t="str">
        <f t="shared" si="87"/>
        <v>Large</v>
      </c>
      <c r="S932" s="5" t="str">
        <f t="shared" si="88"/>
        <v>Pending</v>
      </c>
      <c r="T932" s="5" t="str">
        <f t="shared" si="89"/>
        <v>Yes</v>
      </c>
    </row>
    <row r="933" spans="1:20"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c r="O933">
        <f t="shared" si="84"/>
        <v>80.459999999999994</v>
      </c>
      <c r="P933" t="str">
        <f t="shared" si="85"/>
        <v>Jan</v>
      </c>
      <c r="Q933" t="str">
        <f t="shared" si="86"/>
        <v>Q1</v>
      </c>
      <c r="R933" s="5" t="str">
        <f t="shared" si="87"/>
        <v>Small</v>
      </c>
      <c r="S933" s="5" t="str">
        <f t="shared" si="88"/>
        <v>Pending</v>
      </c>
      <c r="T933" s="5" t="str">
        <f t="shared" si="89"/>
        <v>Yes</v>
      </c>
    </row>
    <row r="934" spans="1:20"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c r="O934">
        <f t="shared" si="84"/>
        <v>144.78</v>
      </c>
      <c r="P934" t="str">
        <f t="shared" si="85"/>
        <v>Mar</v>
      </c>
      <c r="Q934" t="str">
        <f t="shared" si="86"/>
        <v>Q1</v>
      </c>
      <c r="R934" s="5" t="str">
        <f t="shared" si="87"/>
        <v>Medium</v>
      </c>
      <c r="S934" s="5" t="str">
        <f t="shared" si="88"/>
        <v>Completed</v>
      </c>
      <c r="T934" s="5" t="str">
        <f t="shared" si="89"/>
        <v>Yes</v>
      </c>
    </row>
    <row r="935" spans="1:20" x14ac:dyDescent="0.35">
      <c r="A935" t="s">
        <v>947</v>
      </c>
      <c r="B935" s="2">
        <v>44952</v>
      </c>
      <c r="C935" t="s">
        <v>2143</v>
      </c>
      <c r="D935" t="s">
        <v>2403</v>
      </c>
      <c r="E935">
        <v>2</v>
      </c>
      <c r="F935">
        <v>394.16</v>
      </c>
      <c r="G935" t="s">
        <v>2617</v>
      </c>
      <c r="H935" t="s">
        <v>3066</v>
      </c>
      <c r="I935" t="s">
        <v>3070</v>
      </c>
      <c r="J935" t="s">
        <v>4008</v>
      </c>
      <c r="K935">
        <v>2</v>
      </c>
      <c r="L935" t="s">
        <v>4329</v>
      </c>
      <c r="M935" t="s">
        <v>4279</v>
      </c>
      <c r="N935">
        <v>788.32</v>
      </c>
      <c r="O935">
        <f t="shared" si="84"/>
        <v>788.32</v>
      </c>
      <c r="P935" t="str">
        <f t="shared" si="85"/>
        <v>Jan</v>
      </c>
      <c r="Q935" t="str">
        <f t="shared" si="86"/>
        <v>Q1</v>
      </c>
      <c r="R935" s="5" t="str">
        <f t="shared" si="87"/>
        <v>Large</v>
      </c>
      <c r="S935" s="5" t="str">
        <f t="shared" si="88"/>
        <v>Pending</v>
      </c>
      <c r="T935" s="5" t="str">
        <f t="shared" si="89"/>
        <v>Yes</v>
      </c>
    </row>
    <row r="936" spans="1:20"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c r="O936">
        <f t="shared" si="84"/>
        <v>479.36</v>
      </c>
      <c r="P936" t="str">
        <f t="shared" si="85"/>
        <v>Jun</v>
      </c>
      <c r="Q936" t="str">
        <f t="shared" si="86"/>
        <v>Q2</v>
      </c>
      <c r="R936" s="5" t="str">
        <f t="shared" si="87"/>
        <v>Medium</v>
      </c>
      <c r="S936" s="5" t="str">
        <f t="shared" si="88"/>
        <v>Pending</v>
      </c>
      <c r="T936" s="5" t="str">
        <f t="shared" si="89"/>
        <v>Yes</v>
      </c>
    </row>
    <row r="937" spans="1:20"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c r="O937">
        <f t="shared" si="84"/>
        <v>2078.13</v>
      </c>
      <c r="P937" t="str">
        <f t="shared" si="85"/>
        <v>Nov</v>
      </c>
      <c r="Q937" t="str">
        <f t="shared" si="86"/>
        <v>Q4</v>
      </c>
      <c r="R937" s="5" t="str">
        <f t="shared" si="87"/>
        <v>Large</v>
      </c>
      <c r="S937" s="5" t="str">
        <f t="shared" si="88"/>
        <v>Completed</v>
      </c>
      <c r="T937" s="5" t="str">
        <f t="shared" si="89"/>
        <v>Yes</v>
      </c>
    </row>
    <row r="938" spans="1:20"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c r="O938">
        <f t="shared" si="84"/>
        <v>226.64</v>
      </c>
      <c r="P938" t="str">
        <f t="shared" si="85"/>
        <v>Jan</v>
      </c>
      <c r="Q938" t="str">
        <f t="shared" si="86"/>
        <v>Q1</v>
      </c>
      <c r="R938" s="5" t="str">
        <f t="shared" si="87"/>
        <v>Medium</v>
      </c>
      <c r="S938" s="5" t="str">
        <f t="shared" si="88"/>
        <v>Completed</v>
      </c>
      <c r="T938" s="5" t="str">
        <f t="shared" si="89"/>
        <v>Yes</v>
      </c>
    </row>
    <row r="939" spans="1:20"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c r="O939">
        <f t="shared" si="84"/>
        <v>597.05999999999995</v>
      </c>
      <c r="P939" t="str">
        <f t="shared" si="85"/>
        <v>Jan</v>
      </c>
      <c r="Q939" t="str">
        <f t="shared" si="86"/>
        <v>Q1</v>
      </c>
      <c r="R939" s="5" t="str">
        <f t="shared" si="87"/>
        <v>Large</v>
      </c>
      <c r="S939" s="5" t="str">
        <f t="shared" si="88"/>
        <v>Pending</v>
      </c>
      <c r="T939" s="5" t="str">
        <f t="shared" si="89"/>
        <v>Yes</v>
      </c>
    </row>
    <row r="940" spans="1:20"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c r="O940">
        <f t="shared" si="84"/>
        <v>994.37999999999988</v>
      </c>
      <c r="P940" t="str">
        <f t="shared" si="85"/>
        <v>Jul</v>
      </c>
      <c r="Q940" t="str">
        <f t="shared" si="86"/>
        <v>Q3</v>
      </c>
      <c r="R940" s="5" t="str">
        <f t="shared" si="87"/>
        <v>Large</v>
      </c>
      <c r="S940" s="5" t="str">
        <f t="shared" si="88"/>
        <v>Pending</v>
      </c>
      <c r="T940" s="5" t="str">
        <f t="shared" si="89"/>
        <v>Yes</v>
      </c>
    </row>
    <row r="941" spans="1:20"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c r="O941">
        <f t="shared" si="84"/>
        <v>1042.8</v>
      </c>
      <c r="P941" t="str">
        <f t="shared" si="85"/>
        <v>Apr</v>
      </c>
      <c r="Q941" t="str">
        <f t="shared" si="86"/>
        <v>Q2</v>
      </c>
      <c r="R941" s="5" t="str">
        <f t="shared" si="87"/>
        <v>Large</v>
      </c>
      <c r="S941" s="5" t="str">
        <f t="shared" si="88"/>
        <v>Completed</v>
      </c>
      <c r="T941" s="5" t="str">
        <f t="shared" si="89"/>
        <v>Yes</v>
      </c>
    </row>
    <row r="942" spans="1:20"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c r="O942">
        <f t="shared" si="84"/>
        <v>1221.28</v>
      </c>
      <c r="P942" t="str">
        <f t="shared" si="85"/>
        <v>Mar</v>
      </c>
      <c r="Q942" t="str">
        <f t="shared" si="86"/>
        <v>Q1</v>
      </c>
      <c r="R942" s="5" t="str">
        <f t="shared" si="87"/>
        <v>Large</v>
      </c>
      <c r="S942" s="5" t="str">
        <f t="shared" si="88"/>
        <v>Pending</v>
      </c>
      <c r="T942" s="5" t="str">
        <f t="shared" si="89"/>
        <v>Yes</v>
      </c>
    </row>
    <row r="943" spans="1:20"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c r="O943">
        <f t="shared" si="84"/>
        <v>558.5</v>
      </c>
      <c r="P943" t="str">
        <f t="shared" si="85"/>
        <v>Jul</v>
      </c>
      <c r="Q943" t="str">
        <f t="shared" si="86"/>
        <v>Q3</v>
      </c>
      <c r="R943" s="5" t="str">
        <f t="shared" si="87"/>
        <v>Large</v>
      </c>
      <c r="S943" s="5" t="str">
        <f t="shared" si="88"/>
        <v>Pending</v>
      </c>
      <c r="T943" s="5" t="str">
        <f t="shared" si="89"/>
        <v>Yes</v>
      </c>
    </row>
    <row r="944" spans="1:20" x14ac:dyDescent="0.35">
      <c r="A944" t="s">
        <v>956</v>
      </c>
      <c r="B944" s="2">
        <v>45198</v>
      </c>
      <c r="C944" t="s">
        <v>2151</v>
      </c>
      <c r="D944" t="s">
        <v>2405</v>
      </c>
      <c r="E944">
        <v>1</v>
      </c>
      <c r="F944">
        <v>479.76</v>
      </c>
      <c r="G944" t="s">
        <v>2599</v>
      </c>
      <c r="H944" t="s">
        <v>3067</v>
      </c>
      <c r="I944" t="s">
        <v>3074</v>
      </c>
      <c r="J944" t="s">
        <v>4017</v>
      </c>
      <c r="K944">
        <v>1</v>
      </c>
      <c r="L944" t="s">
        <v>4329</v>
      </c>
      <c r="M944" t="s">
        <v>4280</v>
      </c>
      <c r="N944">
        <v>479.76</v>
      </c>
      <c r="O944">
        <f t="shared" si="84"/>
        <v>479.76</v>
      </c>
      <c r="P944" t="str">
        <f t="shared" si="85"/>
        <v>Sep</v>
      </c>
      <c r="Q944" t="str">
        <f t="shared" si="86"/>
        <v>Q3</v>
      </c>
      <c r="R944" s="5" t="str">
        <f t="shared" si="87"/>
        <v>Medium</v>
      </c>
      <c r="S944" s="5" t="str">
        <f t="shared" si="88"/>
        <v>Pending</v>
      </c>
      <c r="T944" s="5" t="str">
        <f t="shared" si="89"/>
        <v>Yes</v>
      </c>
    </row>
    <row r="945" spans="1:20"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c r="O945">
        <f t="shared" si="84"/>
        <v>580.47</v>
      </c>
      <c r="P945" t="str">
        <f t="shared" si="85"/>
        <v>Dec</v>
      </c>
      <c r="Q945" t="str">
        <f t="shared" si="86"/>
        <v>Q4</v>
      </c>
      <c r="R945" s="5" t="str">
        <f t="shared" si="87"/>
        <v>Large</v>
      </c>
      <c r="S945" s="5" t="str">
        <f t="shared" si="88"/>
        <v>Pending</v>
      </c>
      <c r="T945" s="5" t="str">
        <f t="shared" si="89"/>
        <v>Yes</v>
      </c>
    </row>
    <row r="946" spans="1:20"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c r="O946">
        <f t="shared" si="84"/>
        <v>852.44</v>
      </c>
      <c r="P946" t="str">
        <f t="shared" si="85"/>
        <v>Dec</v>
      </c>
      <c r="Q946" t="str">
        <f t="shared" si="86"/>
        <v>Q4</v>
      </c>
      <c r="R946" s="5" t="str">
        <f t="shared" si="87"/>
        <v>Large</v>
      </c>
      <c r="S946" s="5" t="str">
        <f t="shared" si="88"/>
        <v>Completed</v>
      </c>
      <c r="T946" s="5" t="str">
        <f t="shared" si="89"/>
        <v>Yes</v>
      </c>
    </row>
    <row r="947" spans="1:20"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c r="O947">
        <f t="shared" si="84"/>
        <v>1382.2</v>
      </c>
      <c r="P947" t="str">
        <f t="shared" si="85"/>
        <v>Aug</v>
      </c>
      <c r="Q947" t="str">
        <f t="shared" si="86"/>
        <v>Q3</v>
      </c>
      <c r="R947" s="5" t="str">
        <f t="shared" si="87"/>
        <v>Large</v>
      </c>
      <c r="S947" s="5" t="str">
        <f t="shared" si="88"/>
        <v>Pending</v>
      </c>
      <c r="T947" s="5" t="str">
        <f t="shared" si="89"/>
        <v>Yes</v>
      </c>
    </row>
    <row r="948" spans="1:20"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c r="O948">
        <f t="shared" si="84"/>
        <v>809.92</v>
      </c>
      <c r="P948" t="str">
        <f t="shared" si="85"/>
        <v>May</v>
      </c>
      <c r="Q948" t="str">
        <f t="shared" si="86"/>
        <v>Q2</v>
      </c>
      <c r="R948" s="5" t="str">
        <f t="shared" si="87"/>
        <v>Large</v>
      </c>
      <c r="S948" s="5" t="str">
        <f t="shared" si="88"/>
        <v>Pending</v>
      </c>
      <c r="T948" s="5" t="str">
        <f t="shared" si="89"/>
        <v>Yes</v>
      </c>
    </row>
    <row r="949" spans="1:20"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c r="O949">
        <f t="shared" si="84"/>
        <v>1862.64</v>
      </c>
      <c r="P949" t="str">
        <f t="shared" si="85"/>
        <v>Sep</v>
      </c>
      <c r="Q949" t="str">
        <f t="shared" si="86"/>
        <v>Q3</v>
      </c>
      <c r="R949" s="5" t="str">
        <f t="shared" si="87"/>
        <v>Large</v>
      </c>
      <c r="S949" s="5" t="str">
        <f t="shared" si="88"/>
        <v>Pending</v>
      </c>
      <c r="T949" s="5" t="str">
        <f t="shared" si="89"/>
        <v>Yes</v>
      </c>
    </row>
    <row r="950" spans="1:20" x14ac:dyDescent="0.35">
      <c r="A950" t="s">
        <v>962</v>
      </c>
      <c r="B950" s="2">
        <v>45464</v>
      </c>
      <c r="C950" t="s">
        <v>1659</v>
      </c>
      <c r="D950" t="s">
        <v>2404</v>
      </c>
      <c r="E950">
        <v>2</v>
      </c>
      <c r="F950">
        <v>594.07000000000005</v>
      </c>
      <c r="G950" t="s">
        <v>2771</v>
      </c>
      <c r="H950" t="s">
        <v>3068</v>
      </c>
      <c r="I950" t="s">
        <v>3071</v>
      </c>
      <c r="J950" t="s">
        <v>4023</v>
      </c>
      <c r="K950">
        <v>2</v>
      </c>
      <c r="L950" t="s">
        <v>4329</v>
      </c>
      <c r="M950" t="s">
        <v>4282</v>
      </c>
      <c r="N950">
        <v>1188.1400000000001</v>
      </c>
      <c r="O950">
        <f t="shared" si="84"/>
        <v>1188.1400000000001</v>
      </c>
      <c r="P950" t="str">
        <f t="shared" si="85"/>
        <v>Jun</v>
      </c>
      <c r="Q950" t="str">
        <f t="shared" si="86"/>
        <v>Q2</v>
      </c>
      <c r="R950" s="5" t="str">
        <f t="shared" si="87"/>
        <v>Large</v>
      </c>
      <c r="S950" s="5" t="str">
        <f t="shared" si="88"/>
        <v>Pending</v>
      </c>
      <c r="T950" s="5" t="str">
        <f t="shared" si="89"/>
        <v>Yes</v>
      </c>
    </row>
    <row r="951" spans="1:20" x14ac:dyDescent="0.35">
      <c r="A951" t="s">
        <v>963</v>
      </c>
      <c r="B951" s="2">
        <v>45239</v>
      </c>
      <c r="C951" t="s">
        <v>2157</v>
      </c>
      <c r="D951" t="s">
        <v>2409</v>
      </c>
      <c r="E951">
        <v>5</v>
      </c>
      <c r="F951">
        <v>110.38</v>
      </c>
      <c r="G951" t="s">
        <v>2732</v>
      </c>
      <c r="H951" t="s">
        <v>3069</v>
      </c>
      <c r="I951" t="s">
        <v>3074</v>
      </c>
      <c r="J951" t="s">
        <v>4024</v>
      </c>
      <c r="K951">
        <v>10</v>
      </c>
      <c r="L951" t="s">
        <v>4329</v>
      </c>
      <c r="M951" t="s">
        <v>4279</v>
      </c>
      <c r="N951">
        <v>551.9</v>
      </c>
      <c r="O951">
        <f t="shared" si="84"/>
        <v>551.9</v>
      </c>
      <c r="P951" t="str">
        <f t="shared" si="85"/>
        <v>Nov</v>
      </c>
      <c r="Q951" t="str">
        <f t="shared" si="86"/>
        <v>Q4</v>
      </c>
      <c r="R951" s="5" t="str">
        <f t="shared" si="87"/>
        <v>Large</v>
      </c>
      <c r="S951" s="5" t="str">
        <f t="shared" si="88"/>
        <v>Pending</v>
      </c>
      <c r="T951" s="5" t="str">
        <f t="shared" si="89"/>
        <v>Yes</v>
      </c>
    </row>
    <row r="952" spans="1:20"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c r="O952">
        <f t="shared" si="84"/>
        <v>596.24</v>
      </c>
      <c r="P952" t="str">
        <f t="shared" si="85"/>
        <v>May</v>
      </c>
      <c r="Q952" t="str">
        <f t="shared" si="86"/>
        <v>Q2</v>
      </c>
      <c r="R952" s="5" t="str">
        <f t="shared" si="87"/>
        <v>Large</v>
      </c>
      <c r="S952" s="5" t="str">
        <f t="shared" si="88"/>
        <v>Pending</v>
      </c>
      <c r="T952" s="5" t="str">
        <f t="shared" si="89"/>
        <v>Yes</v>
      </c>
    </row>
    <row r="953" spans="1:20"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c r="O953">
        <f t="shared" si="84"/>
        <v>612.48</v>
      </c>
      <c r="P953" t="str">
        <f t="shared" si="85"/>
        <v>Jul</v>
      </c>
      <c r="Q953" t="str">
        <f t="shared" si="86"/>
        <v>Q3</v>
      </c>
      <c r="R953" s="5" t="str">
        <f t="shared" si="87"/>
        <v>Large</v>
      </c>
      <c r="S953" s="5" t="str">
        <f t="shared" si="88"/>
        <v>Pending</v>
      </c>
      <c r="T953" s="5" t="str">
        <f t="shared" si="89"/>
        <v>Yes</v>
      </c>
    </row>
    <row r="954" spans="1:20" x14ac:dyDescent="0.35">
      <c r="A954" t="s">
        <v>966</v>
      </c>
      <c r="B954" s="2">
        <v>45715</v>
      </c>
      <c r="C954" t="s">
        <v>2160</v>
      </c>
      <c r="D954" t="s">
        <v>2403</v>
      </c>
      <c r="E954">
        <v>3</v>
      </c>
      <c r="F954">
        <v>503.39</v>
      </c>
      <c r="G954" t="s">
        <v>2986</v>
      </c>
      <c r="H954" t="s">
        <v>3066</v>
      </c>
      <c r="I954" t="s">
        <v>3074</v>
      </c>
      <c r="J954" t="s">
        <v>4027</v>
      </c>
      <c r="K954">
        <v>5</v>
      </c>
      <c r="L954" t="s">
        <v>4329</v>
      </c>
      <c r="M954" t="s">
        <v>4281</v>
      </c>
      <c r="N954">
        <v>1510.17</v>
      </c>
      <c r="O954">
        <f t="shared" si="84"/>
        <v>1510.17</v>
      </c>
      <c r="P954" t="str">
        <f t="shared" si="85"/>
        <v>Feb</v>
      </c>
      <c r="Q954" t="str">
        <f t="shared" si="86"/>
        <v>Q1</v>
      </c>
      <c r="R954" s="5" t="str">
        <f t="shared" si="87"/>
        <v>Large</v>
      </c>
      <c r="S954" s="5" t="str">
        <f t="shared" si="88"/>
        <v>Pending</v>
      </c>
      <c r="T954" s="5" t="str">
        <f t="shared" si="89"/>
        <v>Yes</v>
      </c>
    </row>
    <row r="955" spans="1:20"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c r="O955">
        <f t="shared" si="84"/>
        <v>131.61000000000001</v>
      </c>
      <c r="P955" t="str">
        <f t="shared" si="85"/>
        <v>Feb</v>
      </c>
      <c r="Q955" t="str">
        <f t="shared" si="86"/>
        <v>Q1</v>
      </c>
      <c r="R955" s="5" t="str">
        <f t="shared" si="87"/>
        <v>Medium</v>
      </c>
      <c r="S955" s="5" t="str">
        <f t="shared" si="88"/>
        <v>Pending</v>
      </c>
      <c r="T955" s="5" t="str">
        <f t="shared" si="89"/>
        <v>Yes</v>
      </c>
    </row>
    <row r="956" spans="1:20"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c r="O956">
        <f t="shared" si="84"/>
        <v>1330.32</v>
      </c>
      <c r="P956" t="str">
        <f t="shared" si="85"/>
        <v>Oct</v>
      </c>
      <c r="Q956" t="str">
        <f t="shared" si="86"/>
        <v>Q4</v>
      </c>
      <c r="R956" s="5" t="str">
        <f t="shared" si="87"/>
        <v>Large</v>
      </c>
      <c r="S956" s="5" t="str">
        <f t="shared" si="88"/>
        <v>Pending</v>
      </c>
      <c r="T956" s="5" t="str">
        <f t="shared" si="89"/>
        <v>Yes</v>
      </c>
    </row>
    <row r="957" spans="1:20"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c r="O957">
        <f t="shared" si="84"/>
        <v>408.13</v>
      </c>
      <c r="P957" t="str">
        <f t="shared" si="85"/>
        <v>Jan</v>
      </c>
      <c r="Q957" t="str">
        <f t="shared" si="86"/>
        <v>Q1</v>
      </c>
      <c r="R957" s="5" t="str">
        <f t="shared" si="87"/>
        <v>Medium</v>
      </c>
      <c r="S957" s="5" t="str">
        <f t="shared" si="88"/>
        <v>Pending</v>
      </c>
      <c r="T957" s="5" t="str">
        <f t="shared" si="89"/>
        <v>Yes</v>
      </c>
    </row>
    <row r="958" spans="1:20"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c r="O958">
        <f t="shared" si="84"/>
        <v>321.95999999999998</v>
      </c>
      <c r="P958" t="str">
        <f t="shared" si="85"/>
        <v>Apr</v>
      </c>
      <c r="Q958" t="str">
        <f t="shared" si="86"/>
        <v>Q2</v>
      </c>
      <c r="R958" s="5" t="str">
        <f t="shared" si="87"/>
        <v>Medium</v>
      </c>
      <c r="S958" s="5" t="str">
        <f t="shared" si="88"/>
        <v>Completed</v>
      </c>
      <c r="T958" s="5" t="str">
        <f t="shared" si="89"/>
        <v>Yes</v>
      </c>
    </row>
    <row r="959" spans="1:20"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c r="O959">
        <f t="shared" si="84"/>
        <v>3219.45</v>
      </c>
      <c r="P959" t="str">
        <f t="shared" si="85"/>
        <v>Jan</v>
      </c>
      <c r="Q959" t="str">
        <f t="shared" si="86"/>
        <v>Q1</v>
      </c>
      <c r="R959" s="5" t="str">
        <f t="shared" si="87"/>
        <v>Large</v>
      </c>
      <c r="S959" s="5" t="str">
        <f t="shared" si="88"/>
        <v>Pending</v>
      </c>
      <c r="T959" s="5" t="str">
        <f t="shared" si="89"/>
        <v>Yes</v>
      </c>
    </row>
    <row r="960" spans="1:20"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c r="O960">
        <f t="shared" si="84"/>
        <v>475.98</v>
      </c>
      <c r="P960" t="str">
        <f t="shared" si="85"/>
        <v>May</v>
      </c>
      <c r="Q960" t="str">
        <f t="shared" si="86"/>
        <v>Q2</v>
      </c>
      <c r="R960" s="5" t="str">
        <f t="shared" si="87"/>
        <v>Medium</v>
      </c>
      <c r="S960" s="5" t="str">
        <f t="shared" si="88"/>
        <v>Completed</v>
      </c>
      <c r="T960" s="5" t="str">
        <f t="shared" si="89"/>
        <v>Yes</v>
      </c>
    </row>
    <row r="961" spans="1:20"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c r="O961">
        <f t="shared" si="84"/>
        <v>287.64</v>
      </c>
      <c r="P961" t="str">
        <f t="shared" si="85"/>
        <v>Apr</v>
      </c>
      <c r="Q961" t="str">
        <f t="shared" si="86"/>
        <v>Q2</v>
      </c>
      <c r="R961" s="5" t="str">
        <f t="shared" si="87"/>
        <v>Medium</v>
      </c>
      <c r="S961" s="5" t="str">
        <f t="shared" si="88"/>
        <v>Pending</v>
      </c>
      <c r="T961" s="5" t="str">
        <f t="shared" si="89"/>
        <v>Yes</v>
      </c>
    </row>
    <row r="962" spans="1:20"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c r="O962">
        <f t="shared" ref="O962:O1025" si="90">E962*F962</f>
        <v>1137.21</v>
      </c>
      <c r="P962" t="str">
        <f t="shared" ref="P962:P1025" si="91">TEXT(B962, "mmm")</f>
        <v>Dec</v>
      </c>
      <c r="Q962" t="str">
        <f t="shared" ref="Q962:Q1025" si="92">"Q"&amp;ROUNDUP(MONTH(B962)/3,0)</f>
        <v>Q4</v>
      </c>
      <c r="R962" s="5" t="str">
        <f t="shared" ref="R962:R1025" si="93">IF(N962&lt;100,"Small", IF(N962&lt;500, "Medium", "Large"))</f>
        <v>Large</v>
      </c>
      <c r="S962" s="5" t="str">
        <f t="shared" ref="S962:S1025" si="94">IF(I962="Delivered","Completed","Pending")</f>
        <v>Pending</v>
      </c>
      <c r="T962" s="5" t="str">
        <f t="shared" ref="T962:T1025" si="95">IF(L962="","No", "Yes")</f>
        <v>Yes</v>
      </c>
    </row>
    <row r="963" spans="1:20" x14ac:dyDescent="0.35">
      <c r="A963" t="s">
        <v>975</v>
      </c>
      <c r="B963" s="2">
        <v>45607</v>
      </c>
      <c r="C963" t="s">
        <v>2168</v>
      </c>
      <c r="D963" t="s">
        <v>2404</v>
      </c>
      <c r="E963">
        <v>1</v>
      </c>
      <c r="F963">
        <v>601.36</v>
      </c>
      <c r="G963" t="s">
        <v>2685</v>
      </c>
      <c r="H963" t="s">
        <v>3066</v>
      </c>
      <c r="I963" t="s">
        <v>3070</v>
      </c>
      <c r="J963" t="s">
        <v>4036</v>
      </c>
      <c r="K963">
        <v>1</v>
      </c>
      <c r="L963" t="s">
        <v>4329</v>
      </c>
      <c r="M963" t="s">
        <v>4281</v>
      </c>
      <c r="N963">
        <v>601.36</v>
      </c>
      <c r="O963">
        <f t="shared" si="90"/>
        <v>601.36</v>
      </c>
      <c r="P963" t="str">
        <f t="shared" si="91"/>
        <v>Nov</v>
      </c>
      <c r="Q963" t="str">
        <f t="shared" si="92"/>
        <v>Q4</v>
      </c>
      <c r="R963" s="5" t="str">
        <f t="shared" si="93"/>
        <v>Large</v>
      </c>
      <c r="S963" s="5" t="str">
        <f t="shared" si="94"/>
        <v>Pending</v>
      </c>
      <c r="T963" s="5" t="str">
        <f t="shared" si="95"/>
        <v>Yes</v>
      </c>
    </row>
    <row r="964" spans="1:20"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c r="O964">
        <f t="shared" si="90"/>
        <v>284.16000000000003</v>
      </c>
      <c r="P964" t="str">
        <f t="shared" si="91"/>
        <v>Sep</v>
      </c>
      <c r="Q964" t="str">
        <f t="shared" si="92"/>
        <v>Q3</v>
      </c>
      <c r="R964" s="5" t="str">
        <f t="shared" si="93"/>
        <v>Medium</v>
      </c>
      <c r="S964" s="5" t="str">
        <f t="shared" si="94"/>
        <v>Completed</v>
      </c>
      <c r="T964" s="5" t="str">
        <f t="shared" si="95"/>
        <v>Yes</v>
      </c>
    </row>
    <row r="965" spans="1:20"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c r="O965">
        <f t="shared" si="90"/>
        <v>2651.7000000000003</v>
      </c>
      <c r="P965" t="str">
        <f t="shared" si="91"/>
        <v>Mar</v>
      </c>
      <c r="Q965" t="str">
        <f t="shared" si="92"/>
        <v>Q1</v>
      </c>
      <c r="R965" s="5" t="str">
        <f t="shared" si="93"/>
        <v>Large</v>
      </c>
      <c r="S965" s="5" t="str">
        <f t="shared" si="94"/>
        <v>Pending</v>
      </c>
      <c r="T965" s="5" t="str">
        <f t="shared" si="95"/>
        <v>Yes</v>
      </c>
    </row>
    <row r="966" spans="1:20"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c r="O966">
        <f t="shared" si="90"/>
        <v>1822.1000000000001</v>
      </c>
      <c r="P966" t="str">
        <f t="shared" si="91"/>
        <v>Aug</v>
      </c>
      <c r="Q966" t="str">
        <f t="shared" si="92"/>
        <v>Q3</v>
      </c>
      <c r="R966" s="5" t="str">
        <f t="shared" si="93"/>
        <v>Large</v>
      </c>
      <c r="S966" s="5" t="str">
        <f t="shared" si="94"/>
        <v>Pending</v>
      </c>
      <c r="T966" s="5" t="str">
        <f t="shared" si="95"/>
        <v>Yes</v>
      </c>
    </row>
    <row r="967" spans="1:20"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c r="O967">
        <f t="shared" si="90"/>
        <v>2313.12</v>
      </c>
      <c r="P967" t="str">
        <f t="shared" si="91"/>
        <v>Jun</v>
      </c>
      <c r="Q967" t="str">
        <f t="shared" si="92"/>
        <v>Q2</v>
      </c>
      <c r="R967" s="5" t="str">
        <f t="shared" si="93"/>
        <v>Large</v>
      </c>
      <c r="S967" s="5" t="str">
        <f t="shared" si="94"/>
        <v>Pending</v>
      </c>
      <c r="T967" s="5" t="str">
        <f t="shared" si="95"/>
        <v>Yes</v>
      </c>
    </row>
    <row r="968" spans="1:20"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c r="O968">
        <f t="shared" si="90"/>
        <v>1402.6</v>
      </c>
      <c r="P968" t="str">
        <f t="shared" si="91"/>
        <v>May</v>
      </c>
      <c r="Q968" t="str">
        <f t="shared" si="92"/>
        <v>Q2</v>
      </c>
      <c r="R968" s="5" t="str">
        <f t="shared" si="93"/>
        <v>Large</v>
      </c>
      <c r="S968" s="5" t="str">
        <f t="shared" si="94"/>
        <v>Pending</v>
      </c>
      <c r="T968" s="5" t="str">
        <f t="shared" si="95"/>
        <v>Yes</v>
      </c>
    </row>
    <row r="969" spans="1:20"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c r="O969">
        <f t="shared" si="90"/>
        <v>3194.6</v>
      </c>
      <c r="P969" t="str">
        <f t="shared" si="91"/>
        <v>May</v>
      </c>
      <c r="Q969" t="str">
        <f t="shared" si="92"/>
        <v>Q2</v>
      </c>
      <c r="R969" s="5" t="str">
        <f t="shared" si="93"/>
        <v>Large</v>
      </c>
      <c r="S969" s="5" t="str">
        <f t="shared" si="94"/>
        <v>Pending</v>
      </c>
      <c r="T969" s="5" t="str">
        <f t="shared" si="95"/>
        <v>Yes</v>
      </c>
    </row>
    <row r="970" spans="1:20"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c r="O970">
        <f t="shared" si="90"/>
        <v>1648.8</v>
      </c>
      <c r="P970" t="str">
        <f t="shared" si="91"/>
        <v>Feb</v>
      </c>
      <c r="Q970" t="str">
        <f t="shared" si="92"/>
        <v>Q1</v>
      </c>
      <c r="R970" s="5" t="str">
        <f t="shared" si="93"/>
        <v>Large</v>
      </c>
      <c r="S970" s="5" t="str">
        <f t="shared" si="94"/>
        <v>Pending</v>
      </c>
      <c r="T970" s="5" t="str">
        <f t="shared" si="95"/>
        <v>Yes</v>
      </c>
    </row>
    <row r="971" spans="1:20"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c r="O971">
        <f t="shared" si="90"/>
        <v>440.34</v>
      </c>
      <c r="P971" t="str">
        <f t="shared" si="91"/>
        <v>Jun</v>
      </c>
      <c r="Q971" t="str">
        <f t="shared" si="92"/>
        <v>Q2</v>
      </c>
      <c r="R971" s="5" t="str">
        <f t="shared" si="93"/>
        <v>Medium</v>
      </c>
      <c r="S971" s="5" t="str">
        <f t="shared" si="94"/>
        <v>Pending</v>
      </c>
      <c r="T971" s="5" t="str">
        <f t="shared" si="95"/>
        <v>Yes</v>
      </c>
    </row>
    <row r="972" spans="1:20"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c r="O972">
        <f t="shared" si="90"/>
        <v>627.15</v>
      </c>
      <c r="P972" t="str">
        <f t="shared" si="91"/>
        <v>Sep</v>
      </c>
      <c r="Q972" t="str">
        <f t="shared" si="92"/>
        <v>Q3</v>
      </c>
      <c r="R972" s="5" t="str">
        <f t="shared" si="93"/>
        <v>Large</v>
      </c>
      <c r="S972" s="5" t="str">
        <f t="shared" si="94"/>
        <v>Completed</v>
      </c>
      <c r="T972" s="5" t="str">
        <f t="shared" si="95"/>
        <v>Yes</v>
      </c>
    </row>
    <row r="973" spans="1:20"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c r="O973">
        <f t="shared" si="90"/>
        <v>1210.52</v>
      </c>
      <c r="P973" t="str">
        <f t="shared" si="91"/>
        <v>May</v>
      </c>
      <c r="Q973" t="str">
        <f t="shared" si="92"/>
        <v>Q2</v>
      </c>
      <c r="R973" s="5" t="str">
        <f t="shared" si="93"/>
        <v>Large</v>
      </c>
      <c r="S973" s="5" t="str">
        <f t="shared" si="94"/>
        <v>Pending</v>
      </c>
      <c r="T973" s="5" t="str">
        <f t="shared" si="95"/>
        <v>Yes</v>
      </c>
    </row>
    <row r="974" spans="1:20"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c r="O974">
        <f t="shared" si="90"/>
        <v>90.27</v>
      </c>
      <c r="P974" t="str">
        <f t="shared" si="91"/>
        <v>Jun</v>
      </c>
      <c r="Q974" t="str">
        <f t="shared" si="92"/>
        <v>Q2</v>
      </c>
      <c r="R974" s="5" t="str">
        <f t="shared" si="93"/>
        <v>Small</v>
      </c>
      <c r="S974" s="5" t="str">
        <f t="shared" si="94"/>
        <v>Completed</v>
      </c>
      <c r="T974" s="5" t="str">
        <f t="shared" si="95"/>
        <v>Yes</v>
      </c>
    </row>
    <row r="975" spans="1:20"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c r="O975">
        <f t="shared" si="90"/>
        <v>1153.8500000000001</v>
      </c>
      <c r="P975" t="str">
        <f t="shared" si="91"/>
        <v>Jun</v>
      </c>
      <c r="Q975" t="str">
        <f t="shared" si="92"/>
        <v>Q2</v>
      </c>
      <c r="R975" s="5" t="str">
        <f t="shared" si="93"/>
        <v>Large</v>
      </c>
      <c r="S975" s="5" t="str">
        <f t="shared" si="94"/>
        <v>Pending</v>
      </c>
      <c r="T975" s="5" t="str">
        <f t="shared" si="95"/>
        <v>Yes</v>
      </c>
    </row>
    <row r="976" spans="1:20" x14ac:dyDescent="0.35">
      <c r="A976" t="s">
        <v>988</v>
      </c>
      <c r="B976" s="2">
        <v>45196</v>
      </c>
      <c r="C976" t="s">
        <v>2181</v>
      </c>
      <c r="D976" t="s">
        <v>2409</v>
      </c>
      <c r="E976">
        <v>5</v>
      </c>
      <c r="F976">
        <v>266.77999999999997</v>
      </c>
      <c r="G976" t="s">
        <v>2673</v>
      </c>
      <c r="H976" t="s">
        <v>3068</v>
      </c>
      <c r="I976" t="s">
        <v>3071</v>
      </c>
      <c r="J976" t="s">
        <v>4049</v>
      </c>
      <c r="K976">
        <v>5</v>
      </c>
      <c r="L976" t="s">
        <v>4329</v>
      </c>
      <c r="M976" t="s">
        <v>4280</v>
      </c>
      <c r="N976">
        <v>1333.9</v>
      </c>
      <c r="O976">
        <f t="shared" si="90"/>
        <v>1333.8999999999999</v>
      </c>
      <c r="P976" t="str">
        <f t="shared" si="91"/>
        <v>Sep</v>
      </c>
      <c r="Q976" t="str">
        <f t="shared" si="92"/>
        <v>Q3</v>
      </c>
      <c r="R976" s="5" t="str">
        <f t="shared" si="93"/>
        <v>Large</v>
      </c>
      <c r="S976" s="5" t="str">
        <f t="shared" si="94"/>
        <v>Pending</v>
      </c>
      <c r="T976" s="5" t="str">
        <f t="shared" si="95"/>
        <v>Yes</v>
      </c>
    </row>
    <row r="977" spans="1:20"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c r="O977">
        <f t="shared" si="90"/>
        <v>105.92</v>
      </c>
      <c r="P977" t="str">
        <f t="shared" si="91"/>
        <v>May</v>
      </c>
      <c r="Q977" t="str">
        <f t="shared" si="92"/>
        <v>Q2</v>
      </c>
      <c r="R977" s="5" t="str">
        <f t="shared" si="93"/>
        <v>Medium</v>
      </c>
      <c r="S977" s="5" t="str">
        <f t="shared" si="94"/>
        <v>Pending</v>
      </c>
      <c r="T977" s="5" t="str">
        <f t="shared" si="95"/>
        <v>Yes</v>
      </c>
    </row>
    <row r="978" spans="1:20"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c r="O978">
        <f t="shared" si="90"/>
        <v>1767.8999999999999</v>
      </c>
      <c r="P978" t="str">
        <f t="shared" si="91"/>
        <v>Apr</v>
      </c>
      <c r="Q978" t="str">
        <f t="shared" si="92"/>
        <v>Q2</v>
      </c>
      <c r="R978" s="5" t="str">
        <f t="shared" si="93"/>
        <v>Large</v>
      </c>
      <c r="S978" s="5" t="str">
        <f t="shared" si="94"/>
        <v>Pending</v>
      </c>
      <c r="T978" s="5" t="str">
        <f t="shared" si="95"/>
        <v>Yes</v>
      </c>
    </row>
    <row r="979" spans="1:20"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c r="O979">
        <f t="shared" si="90"/>
        <v>2597.88</v>
      </c>
      <c r="P979" t="str">
        <f t="shared" si="91"/>
        <v>Jan</v>
      </c>
      <c r="Q979" t="str">
        <f t="shared" si="92"/>
        <v>Q1</v>
      </c>
      <c r="R979" s="5" t="str">
        <f t="shared" si="93"/>
        <v>Large</v>
      </c>
      <c r="S979" s="5" t="str">
        <f t="shared" si="94"/>
        <v>Pending</v>
      </c>
      <c r="T979" s="5" t="str">
        <f t="shared" si="95"/>
        <v>Yes</v>
      </c>
    </row>
    <row r="980" spans="1:20" x14ac:dyDescent="0.35">
      <c r="A980" t="s">
        <v>992</v>
      </c>
      <c r="B980" s="2">
        <v>45468</v>
      </c>
      <c r="C980" t="s">
        <v>2185</v>
      </c>
      <c r="D980" t="s">
        <v>2407</v>
      </c>
      <c r="E980">
        <v>4</v>
      </c>
      <c r="F980">
        <v>107.49</v>
      </c>
      <c r="G980" t="s">
        <v>2887</v>
      </c>
      <c r="H980" t="s">
        <v>3069</v>
      </c>
      <c r="I980" t="s">
        <v>3073</v>
      </c>
      <c r="J980" t="s">
        <v>4053</v>
      </c>
      <c r="K980">
        <v>5</v>
      </c>
      <c r="L980" t="s">
        <v>4329</v>
      </c>
      <c r="M980" t="s">
        <v>4282</v>
      </c>
      <c r="N980">
        <v>429.96</v>
      </c>
      <c r="O980">
        <f t="shared" si="90"/>
        <v>429.96</v>
      </c>
      <c r="P980" t="str">
        <f t="shared" si="91"/>
        <v>Jun</v>
      </c>
      <c r="Q980" t="str">
        <f t="shared" si="92"/>
        <v>Q2</v>
      </c>
      <c r="R980" s="5" t="str">
        <f t="shared" si="93"/>
        <v>Medium</v>
      </c>
      <c r="S980" s="5" t="str">
        <f t="shared" si="94"/>
        <v>Completed</v>
      </c>
      <c r="T980" s="5" t="str">
        <f t="shared" si="95"/>
        <v>Yes</v>
      </c>
    </row>
    <row r="981" spans="1:20"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c r="O981">
        <f t="shared" si="90"/>
        <v>2007.1799999999998</v>
      </c>
      <c r="P981" t="str">
        <f t="shared" si="91"/>
        <v>May</v>
      </c>
      <c r="Q981" t="str">
        <f t="shared" si="92"/>
        <v>Q2</v>
      </c>
      <c r="R981" s="5" t="str">
        <f t="shared" si="93"/>
        <v>Large</v>
      </c>
      <c r="S981" s="5" t="str">
        <f t="shared" si="94"/>
        <v>Completed</v>
      </c>
      <c r="T981" s="5" t="str">
        <f t="shared" si="95"/>
        <v>Yes</v>
      </c>
    </row>
    <row r="982" spans="1:20"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c r="O982">
        <f t="shared" si="90"/>
        <v>208.95000000000002</v>
      </c>
      <c r="P982" t="str">
        <f t="shared" si="91"/>
        <v>Oct</v>
      </c>
      <c r="Q982" t="str">
        <f t="shared" si="92"/>
        <v>Q4</v>
      </c>
      <c r="R982" s="5" t="str">
        <f t="shared" si="93"/>
        <v>Medium</v>
      </c>
      <c r="S982" s="5" t="str">
        <f t="shared" si="94"/>
        <v>Completed</v>
      </c>
      <c r="T982" s="5" t="str">
        <f t="shared" si="95"/>
        <v>Yes</v>
      </c>
    </row>
    <row r="983" spans="1:20"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c r="O983">
        <f t="shared" si="90"/>
        <v>547.32000000000005</v>
      </c>
      <c r="P983" t="str">
        <f t="shared" si="91"/>
        <v>Nov</v>
      </c>
      <c r="Q983" t="str">
        <f t="shared" si="92"/>
        <v>Q4</v>
      </c>
      <c r="R983" s="5" t="str">
        <f t="shared" si="93"/>
        <v>Large</v>
      </c>
      <c r="S983" s="5" t="str">
        <f t="shared" si="94"/>
        <v>Pending</v>
      </c>
      <c r="T983" s="5" t="str">
        <f t="shared" si="95"/>
        <v>Yes</v>
      </c>
    </row>
    <row r="984" spans="1:20"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c r="O984">
        <f t="shared" si="90"/>
        <v>304.11</v>
      </c>
      <c r="P984" t="str">
        <f t="shared" si="91"/>
        <v>Sep</v>
      </c>
      <c r="Q984" t="str">
        <f t="shared" si="92"/>
        <v>Q3</v>
      </c>
      <c r="R984" s="5" t="str">
        <f t="shared" si="93"/>
        <v>Medium</v>
      </c>
      <c r="S984" s="5" t="str">
        <f t="shared" si="94"/>
        <v>Pending</v>
      </c>
      <c r="T984" s="5" t="str">
        <f t="shared" si="95"/>
        <v>Yes</v>
      </c>
    </row>
    <row r="985" spans="1:20"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c r="O985">
        <f t="shared" si="90"/>
        <v>1185.1199999999999</v>
      </c>
      <c r="P985" t="str">
        <f t="shared" si="91"/>
        <v>Nov</v>
      </c>
      <c r="Q985" t="str">
        <f t="shared" si="92"/>
        <v>Q4</v>
      </c>
      <c r="R985" s="5" t="str">
        <f t="shared" si="93"/>
        <v>Large</v>
      </c>
      <c r="S985" s="5" t="str">
        <f t="shared" si="94"/>
        <v>Pending</v>
      </c>
      <c r="T985" s="5" t="str">
        <f t="shared" si="95"/>
        <v>Yes</v>
      </c>
    </row>
    <row r="986" spans="1:20"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c r="O986">
        <f t="shared" si="90"/>
        <v>77.64</v>
      </c>
      <c r="P986" t="str">
        <f t="shared" si="91"/>
        <v>Feb</v>
      </c>
      <c r="Q986" t="str">
        <f t="shared" si="92"/>
        <v>Q1</v>
      </c>
      <c r="R986" s="5" t="str">
        <f t="shared" si="93"/>
        <v>Small</v>
      </c>
      <c r="S986" s="5" t="str">
        <f t="shared" si="94"/>
        <v>Pending</v>
      </c>
      <c r="T986" s="5" t="str">
        <f t="shared" si="95"/>
        <v>Yes</v>
      </c>
    </row>
    <row r="987" spans="1:20"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c r="O987">
        <f t="shared" si="90"/>
        <v>243.71</v>
      </c>
      <c r="P987" t="str">
        <f t="shared" si="91"/>
        <v>Jul</v>
      </c>
      <c r="Q987" t="str">
        <f t="shared" si="92"/>
        <v>Q3</v>
      </c>
      <c r="R987" s="5" t="str">
        <f t="shared" si="93"/>
        <v>Medium</v>
      </c>
      <c r="S987" s="5" t="str">
        <f t="shared" si="94"/>
        <v>Completed</v>
      </c>
      <c r="T987" s="5" t="str">
        <f t="shared" si="95"/>
        <v>Yes</v>
      </c>
    </row>
    <row r="988" spans="1:20"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c r="O988">
        <f t="shared" si="90"/>
        <v>2579.84</v>
      </c>
      <c r="P988" t="str">
        <f t="shared" si="91"/>
        <v>Sep</v>
      </c>
      <c r="Q988" t="str">
        <f t="shared" si="92"/>
        <v>Q3</v>
      </c>
      <c r="R988" s="5" t="str">
        <f t="shared" si="93"/>
        <v>Large</v>
      </c>
      <c r="S988" s="5" t="str">
        <f t="shared" si="94"/>
        <v>Pending</v>
      </c>
      <c r="T988" s="5" t="str">
        <f t="shared" si="95"/>
        <v>Yes</v>
      </c>
    </row>
    <row r="989" spans="1:20"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c r="O989">
        <f t="shared" si="90"/>
        <v>1418.65</v>
      </c>
      <c r="P989" t="str">
        <f t="shared" si="91"/>
        <v>Jun</v>
      </c>
      <c r="Q989" t="str">
        <f t="shared" si="92"/>
        <v>Q2</v>
      </c>
      <c r="R989" s="5" t="str">
        <f t="shared" si="93"/>
        <v>Large</v>
      </c>
      <c r="S989" s="5" t="str">
        <f t="shared" si="94"/>
        <v>Pending</v>
      </c>
      <c r="T989" s="5" t="str">
        <f t="shared" si="95"/>
        <v>Yes</v>
      </c>
    </row>
    <row r="990" spans="1:20"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c r="O990">
        <f t="shared" si="90"/>
        <v>1259.1199999999999</v>
      </c>
      <c r="P990" t="str">
        <f t="shared" si="91"/>
        <v>Feb</v>
      </c>
      <c r="Q990" t="str">
        <f t="shared" si="92"/>
        <v>Q1</v>
      </c>
      <c r="R990" s="5" t="str">
        <f t="shared" si="93"/>
        <v>Large</v>
      </c>
      <c r="S990" s="5" t="str">
        <f t="shared" si="94"/>
        <v>Pending</v>
      </c>
      <c r="T990" s="5" t="str">
        <f t="shared" si="95"/>
        <v>Yes</v>
      </c>
    </row>
    <row r="991" spans="1:20"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c r="O991">
        <f t="shared" si="90"/>
        <v>984.44</v>
      </c>
      <c r="P991" t="str">
        <f t="shared" si="91"/>
        <v>Mar</v>
      </c>
      <c r="Q991" t="str">
        <f t="shared" si="92"/>
        <v>Q1</v>
      </c>
      <c r="R991" s="5" t="str">
        <f t="shared" si="93"/>
        <v>Large</v>
      </c>
      <c r="S991" s="5" t="str">
        <f t="shared" si="94"/>
        <v>Pending</v>
      </c>
      <c r="T991" s="5" t="str">
        <f t="shared" si="95"/>
        <v>Yes</v>
      </c>
    </row>
    <row r="992" spans="1:20"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c r="O992">
        <f t="shared" si="90"/>
        <v>836.52</v>
      </c>
      <c r="P992" t="str">
        <f t="shared" si="91"/>
        <v>Nov</v>
      </c>
      <c r="Q992" t="str">
        <f t="shared" si="92"/>
        <v>Q4</v>
      </c>
      <c r="R992" s="5" t="str">
        <f t="shared" si="93"/>
        <v>Large</v>
      </c>
      <c r="S992" s="5" t="str">
        <f t="shared" si="94"/>
        <v>Pending</v>
      </c>
      <c r="T992" s="5" t="str">
        <f t="shared" si="95"/>
        <v>Yes</v>
      </c>
    </row>
    <row r="993" spans="1:20"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c r="O993">
        <f t="shared" si="90"/>
        <v>635.90000000000009</v>
      </c>
      <c r="P993" t="str">
        <f t="shared" si="91"/>
        <v>May</v>
      </c>
      <c r="Q993" t="str">
        <f t="shared" si="92"/>
        <v>Q2</v>
      </c>
      <c r="R993" s="5" t="str">
        <f t="shared" si="93"/>
        <v>Large</v>
      </c>
      <c r="S993" s="5" t="str">
        <f t="shared" si="94"/>
        <v>Pending</v>
      </c>
      <c r="T993" s="5" t="str">
        <f t="shared" si="95"/>
        <v>Yes</v>
      </c>
    </row>
    <row r="994" spans="1:20"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c r="O994">
        <f t="shared" si="90"/>
        <v>1758.63</v>
      </c>
      <c r="P994" t="str">
        <f t="shared" si="91"/>
        <v>Aug</v>
      </c>
      <c r="Q994" t="str">
        <f t="shared" si="92"/>
        <v>Q3</v>
      </c>
      <c r="R994" s="5" t="str">
        <f t="shared" si="93"/>
        <v>Large</v>
      </c>
      <c r="S994" s="5" t="str">
        <f t="shared" si="94"/>
        <v>Pending</v>
      </c>
      <c r="T994" s="5" t="str">
        <f t="shared" si="95"/>
        <v>Yes</v>
      </c>
    </row>
    <row r="995" spans="1:20"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c r="O995">
        <f t="shared" si="90"/>
        <v>802.34999999999991</v>
      </c>
      <c r="P995" t="str">
        <f t="shared" si="91"/>
        <v>Apr</v>
      </c>
      <c r="Q995" t="str">
        <f t="shared" si="92"/>
        <v>Q2</v>
      </c>
      <c r="R995" s="5" t="str">
        <f t="shared" si="93"/>
        <v>Large</v>
      </c>
      <c r="S995" s="5" t="str">
        <f t="shared" si="94"/>
        <v>Completed</v>
      </c>
      <c r="T995" s="5" t="str">
        <f t="shared" si="95"/>
        <v>Yes</v>
      </c>
    </row>
    <row r="996" spans="1:20"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c r="O996">
        <f t="shared" si="90"/>
        <v>2462.6</v>
      </c>
      <c r="P996" t="str">
        <f t="shared" si="91"/>
        <v>Jun</v>
      </c>
      <c r="Q996" t="str">
        <f t="shared" si="92"/>
        <v>Q2</v>
      </c>
      <c r="R996" s="5" t="str">
        <f t="shared" si="93"/>
        <v>Large</v>
      </c>
      <c r="S996" s="5" t="str">
        <f t="shared" si="94"/>
        <v>Completed</v>
      </c>
      <c r="T996" s="5" t="str">
        <f t="shared" si="95"/>
        <v>Yes</v>
      </c>
    </row>
    <row r="997" spans="1:20"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c r="O997">
        <f t="shared" si="90"/>
        <v>226.58</v>
      </c>
      <c r="P997" t="str">
        <f t="shared" si="91"/>
        <v>Nov</v>
      </c>
      <c r="Q997" t="str">
        <f t="shared" si="92"/>
        <v>Q4</v>
      </c>
      <c r="R997" s="5" t="str">
        <f t="shared" si="93"/>
        <v>Medium</v>
      </c>
      <c r="S997" s="5" t="str">
        <f t="shared" si="94"/>
        <v>Pending</v>
      </c>
      <c r="T997" s="5" t="str">
        <f t="shared" si="95"/>
        <v>Yes</v>
      </c>
    </row>
    <row r="998" spans="1:20"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c r="O998">
        <f t="shared" si="90"/>
        <v>1895.44</v>
      </c>
      <c r="P998" t="str">
        <f t="shared" si="91"/>
        <v>Apr</v>
      </c>
      <c r="Q998" t="str">
        <f t="shared" si="92"/>
        <v>Q2</v>
      </c>
      <c r="R998" s="5" t="str">
        <f t="shared" si="93"/>
        <v>Large</v>
      </c>
      <c r="S998" s="5" t="str">
        <f t="shared" si="94"/>
        <v>Completed</v>
      </c>
      <c r="T998" s="5" t="str">
        <f t="shared" si="95"/>
        <v>Yes</v>
      </c>
    </row>
    <row r="999" spans="1:20"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c r="O999">
        <f t="shared" si="90"/>
        <v>1334.25</v>
      </c>
      <c r="P999" t="str">
        <f t="shared" si="91"/>
        <v>Nov</v>
      </c>
      <c r="Q999" t="str">
        <f t="shared" si="92"/>
        <v>Q4</v>
      </c>
      <c r="R999" s="5" t="str">
        <f t="shared" si="93"/>
        <v>Large</v>
      </c>
      <c r="S999" s="5" t="str">
        <f t="shared" si="94"/>
        <v>Completed</v>
      </c>
      <c r="T999" s="5" t="str">
        <f t="shared" si="95"/>
        <v>Yes</v>
      </c>
    </row>
    <row r="1000" spans="1:20"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c r="O1000">
        <f t="shared" si="90"/>
        <v>367.34</v>
      </c>
      <c r="P1000" t="str">
        <f t="shared" si="91"/>
        <v>May</v>
      </c>
      <c r="Q1000" t="str">
        <f t="shared" si="92"/>
        <v>Q2</v>
      </c>
      <c r="R1000" s="5" t="str">
        <f t="shared" si="93"/>
        <v>Medium</v>
      </c>
      <c r="S1000" s="5" t="str">
        <f t="shared" si="94"/>
        <v>Pending</v>
      </c>
      <c r="T1000" s="5" t="str">
        <f t="shared" si="95"/>
        <v>Yes</v>
      </c>
    </row>
    <row r="1001" spans="1:20"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c r="O1001">
        <f t="shared" si="90"/>
        <v>483.38</v>
      </c>
      <c r="P1001" t="str">
        <f t="shared" si="91"/>
        <v>Dec</v>
      </c>
      <c r="Q1001" t="str">
        <f t="shared" si="92"/>
        <v>Q4</v>
      </c>
      <c r="R1001" s="5" t="str">
        <f t="shared" si="93"/>
        <v>Medium</v>
      </c>
      <c r="S1001" s="5" t="str">
        <f t="shared" si="94"/>
        <v>Pending</v>
      </c>
      <c r="T1001" s="5" t="str">
        <f t="shared" si="95"/>
        <v>Yes</v>
      </c>
    </row>
    <row r="1002" spans="1:20"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c r="O1002">
        <f t="shared" si="90"/>
        <v>1304.6500000000001</v>
      </c>
      <c r="P1002" t="str">
        <f t="shared" si="91"/>
        <v>Jun</v>
      </c>
      <c r="Q1002" t="str">
        <f t="shared" si="92"/>
        <v>Q2</v>
      </c>
      <c r="R1002" s="5" t="str">
        <f t="shared" si="93"/>
        <v>Large</v>
      </c>
      <c r="S1002" s="5" t="str">
        <f t="shared" si="94"/>
        <v>Completed</v>
      </c>
      <c r="T1002" s="5" t="str">
        <f t="shared" si="95"/>
        <v>Yes</v>
      </c>
    </row>
    <row r="1003" spans="1:20" x14ac:dyDescent="0.35">
      <c r="A1003" t="s">
        <v>1015</v>
      </c>
      <c r="B1003" s="2">
        <v>45268</v>
      </c>
      <c r="C1003" t="s">
        <v>2208</v>
      </c>
      <c r="D1003" t="s">
        <v>2407</v>
      </c>
      <c r="E1003">
        <v>2</v>
      </c>
      <c r="F1003">
        <v>253.68</v>
      </c>
      <c r="G1003" t="s">
        <v>2518</v>
      </c>
      <c r="H1003" t="s">
        <v>3068</v>
      </c>
      <c r="I1003" t="s">
        <v>3070</v>
      </c>
      <c r="J1003" t="s">
        <v>4076</v>
      </c>
      <c r="K1003">
        <v>6</v>
      </c>
      <c r="L1003" t="s">
        <v>4329</v>
      </c>
      <c r="M1003" t="s">
        <v>4279</v>
      </c>
      <c r="N1003">
        <v>507.36</v>
      </c>
      <c r="O1003">
        <f t="shared" si="90"/>
        <v>507.36</v>
      </c>
      <c r="P1003" t="str">
        <f t="shared" si="91"/>
        <v>Dec</v>
      </c>
      <c r="Q1003" t="str">
        <f t="shared" si="92"/>
        <v>Q4</v>
      </c>
      <c r="R1003" s="5" t="str">
        <f t="shared" si="93"/>
        <v>Large</v>
      </c>
      <c r="S1003" s="5" t="str">
        <f t="shared" si="94"/>
        <v>Pending</v>
      </c>
      <c r="T1003" s="5" t="str">
        <f t="shared" si="95"/>
        <v>Yes</v>
      </c>
    </row>
    <row r="1004" spans="1:20"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c r="O1004">
        <f t="shared" si="90"/>
        <v>2799.52</v>
      </c>
      <c r="P1004" t="str">
        <f t="shared" si="91"/>
        <v>Jun</v>
      </c>
      <c r="Q1004" t="str">
        <f t="shared" si="92"/>
        <v>Q2</v>
      </c>
      <c r="R1004" s="5" t="str">
        <f t="shared" si="93"/>
        <v>Large</v>
      </c>
      <c r="S1004" s="5" t="str">
        <f t="shared" si="94"/>
        <v>Pending</v>
      </c>
      <c r="T1004" s="5" t="str">
        <f t="shared" si="95"/>
        <v>Yes</v>
      </c>
    </row>
    <row r="1005" spans="1:20"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c r="O1005">
        <f t="shared" si="90"/>
        <v>1599.8500000000001</v>
      </c>
      <c r="P1005" t="str">
        <f t="shared" si="91"/>
        <v>Jan</v>
      </c>
      <c r="Q1005" t="str">
        <f t="shared" si="92"/>
        <v>Q1</v>
      </c>
      <c r="R1005" s="5" t="str">
        <f t="shared" si="93"/>
        <v>Large</v>
      </c>
      <c r="S1005" s="5" t="str">
        <f t="shared" si="94"/>
        <v>Pending</v>
      </c>
      <c r="T1005" s="5" t="str">
        <f t="shared" si="95"/>
        <v>Yes</v>
      </c>
    </row>
    <row r="1006" spans="1:20"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c r="O1006">
        <f t="shared" si="90"/>
        <v>987.64</v>
      </c>
      <c r="P1006" t="str">
        <f t="shared" si="91"/>
        <v>Jun</v>
      </c>
      <c r="Q1006" t="str">
        <f t="shared" si="92"/>
        <v>Q2</v>
      </c>
      <c r="R1006" s="5" t="str">
        <f t="shared" si="93"/>
        <v>Large</v>
      </c>
      <c r="S1006" s="5" t="str">
        <f t="shared" si="94"/>
        <v>Pending</v>
      </c>
      <c r="T1006" s="5" t="str">
        <f t="shared" si="95"/>
        <v>Yes</v>
      </c>
    </row>
    <row r="1007" spans="1:20" x14ac:dyDescent="0.35">
      <c r="A1007" t="s">
        <v>1019</v>
      </c>
      <c r="B1007" s="2">
        <v>44987</v>
      </c>
      <c r="C1007" t="s">
        <v>2212</v>
      </c>
      <c r="D1007" t="s">
        <v>2407</v>
      </c>
      <c r="E1007">
        <v>3</v>
      </c>
      <c r="F1007">
        <v>392.85</v>
      </c>
      <c r="G1007" t="s">
        <v>2929</v>
      </c>
      <c r="H1007" t="s">
        <v>3067</v>
      </c>
      <c r="I1007" t="s">
        <v>3072</v>
      </c>
      <c r="J1007" t="s">
        <v>4080</v>
      </c>
      <c r="K1007">
        <v>6</v>
      </c>
      <c r="L1007" t="s">
        <v>4329</v>
      </c>
      <c r="M1007" t="s">
        <v>4282</v>
      </c>
      <c r="N1007">
        <v>1178.55</v>
      </c>
      <c r="O1007">
        <f t="shared" si="90"/>
        <v>1178.5500000000002</v>
      </c>
      <c r="P1007" t="str">
        <f t="shared" si="91"/>
        <v>Mar</v>
      </c>
      <c r="Q1007" t="str">
        <f t="shared" si="92"/>
        <v>Q1</v>
      </c>
      <c r="R1007" s="5" t="str">
        <f t="shared" si="93"/>
        <v>Large</v>
      </c>
      <c r="S1007" s="5" t="str">
        <f t="shared" si="94"/>
        <v>Pending</v>
      </c>
      <c r="T1007" s="5" t="str">
        <f t="shared" si="95"/>
        <v>Yes</v>
      </c>
    </row>
    <row r="1008" spans="1:20"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c r="O1008">
        <f t="shared" si="90"/>
        <v>2104.9</v>
      </c>
      <c r="P1008" t="str">
        <f t="shared" si="91"/>
        <v>May</v>
      </c>
      <c r="Q1008" t="str">
        <f t="shared" si="92"/>
        <v>Q2</v>
      </c>
      <c r="R1008" s="5" t="str">
        <f t="shared" si="93"/>
        <v>Large</v>
      </c>
      <c r="S1008" s="5" t="str">
        <f t="shared" si="94"/>
        <v>Completed</v>
      </c>
      <c r="T1008" s="5" t="str">
        <f t="shared" si="95"/>
        <v>Yes</v>
      </c>
    </row>
    <row r="1009" spans="1:20"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c r="O1009">
        <f t="shared" si="90"/>
        <v>146.52000000000001</v>
      </c>
      <c r="P1009" t="str">
        <f t="shared" si="91"/>
        <v>Mar</v>
      </c>
      <c r="Q1009" t="str">
        <f t="shared" si="92"/>
        <v>Q1</v>
      </c>
      <c r="R1009" s="5" t="str">
        <f t="shared" si="93"/>
        <v>Medium</v>
      </c>
      <c r="S1009" s="5" t="str">
        <f t="shared" si="94"/>
        <v>Pending</v>
      </c>
      <c r="T1009" s="5" t="str">
        <f t="shared" si="95"/>
        <v>Yes</v>
      </c>
    </row>
    <row r="1010" spans="1:20"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c r="O1010">
        <f t="shared" si="90"/>
        <v>1232.6399999999999</v>
      </c>
      <c r="P1010" t="str">
        <f t="shared" si="91"/>
        <v>Jan</v>
      </c>
      <c r="Q1010" t="str">
        <f t="shared" si="92"/>
        <v>Q1</v>
      </c>
      <c r="R1010" s="5" t="str">
        <f t="shared" si="93"/>
        <v>Large</v>
      </c>
      <c r="S1010" s="5" t="str">
        <f t="shared" si="94"/>
        <v>Completed</v>
      </c>
      <c r="T1010" s="5" t="str">
        <f t="shared" si="95"/>
        <v>Yes</v>
      </c>
    </row>
    <row r="1011" spans="1:20"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c r="O1011">
        <f t="shared" si="90"/>
        <v>352.92</v>
      </c>
      <c r="P1011" t="str">
        <f t="shared" si="91"/>
        <v>Sep</v>
      </c>
      <c r="Q1011" t="str">
        <f t="shared" si="92"/>
        <v>Q3</v>
      </c>
      <c r="R1011" s="5" t="str">
        <f t="shared" si="93"/>
        <v>Medium</v>
      </c>
      <c r="S1011" s="5" t="str">
        <f t="shared" si="94"/>
        <v>Completed</v>
      </c>
      <c r="T1011" s="5" t="str">
        <f t="shared" si="95"/>
        <v>Yes</v>
      </c>
    </row>
    <row r="1012" spans="1:20"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c r="O1012">
        <f t="shared" si="90"/>
        <v>1978.71</v>
      </c>
      <c r="P1012" t="str">
        <f t="shared" si="91"/>
        <v>Mar</v>
      </c>
      <c r="Q1012" t="str">
        <f t="shared" si="92"/>
        <v>Q1</v>
      </c>
      <c r="R1012" s="5" t="str">
        <f t="shared" si="93"/>
        <v>Large</v>
      </c>
      <c r="S1012" s="5" t="str">
        <f t="shared" si="94"/>
        <v>Pending</v>
      </c>
      <c r="T1012" s="5" t="str">
        <f t="shared" si="95"/>
        <v>Yes</v>
      </c>
    </row>
    <row r="1013" spans="1:20" x14ac:dyDescent="0.35">
      <c r="A1013" t="s">
        <v>1025</v>
      </c>
      <c r="B1013" s="2">
        <v>45629</v>
      </c>
      <c r="C1013" t="s">
        <v>2217</v>
      </c>
      <c r="D1013" t="s">
        <v>2404</v>
      </c>
      <c r="E1013">
        <v>2</v>
      </c>
      <c r="F1013">
        <v>478.36</v>
      </c>
      <c r="G1013" t="s">
        <v>2646</v>
      </c>
      <c r="H1013" t="s">
        <v>3066</v>
      </c>
      <c r="I1013" t="s">
        <v>3070</v>
      </c>
      <c r="J1013" t="s">
        <v>4086</v>
      </c>
      <c r="K1013">
        <v>3</v>
      </c>
      <c r="L1013" t="s">
        <v>4329</v>
      </c>
      <c r="M1013" t="s">
        <v>4282</v>
      </c>
      <c r="N1013">
        <v>956.72</v>
      </c>
      <c r="O1013">
        <f t="shared" si="90"/>
        <v>956.72</v>
      </c>
      <c r="P1013" t="str">
        <f t="shared" si="91"/>
        <v>Dec</v>
      </c>
      <c r="Q1013" t="str">
        <f t="shared" si="92"/>
        <v>Q4</v>
      </c>
      <c r="R1013" s="5" t="str">
        <f t="shared" si="93"/>
        <v>Large</v>
      </c>
      <c r="S1013" s="5" t="str">
        <f t="shared" si="94"/>
        <v>Pending</v>
      </c>
      <c r="T1013" s="5" t="str">
        <f t="shared" si="95"/>
        <v>Yes</v>
      </c>
    </row>
    <row r="1014" spans="1:20" x14ac:dyDescent="0.35">
      <c r="A1014" t="s">
        <v>1026</v>
      </c>
      <c r="B1014" s="2">
        <v>45629</v>
      </c>
      <c r="C1014" t="s">
        <v>2218</v>
      </c>
      <c r="D1014" t="s">
        <v>2407</v>
      </c>
      <c r="E1014">
        <v>4</v>
      </c>
      <c r="F1014">
        <v>30.05</v>
      </c>
      <c r="G1014" t="s">
        <v>2676</v>
      </c>
      <c r="H1014" t="s">
        <v>3066</v>
      </c>
      <c r="I1014" t="s">
        <v>3072</v>
      </c>
      <c r="J1014" t="s">
        <v>4087</v>
      </c>
      <c r="K1014">
        <v>6</v>
      </c>
      <c r="L1014" t="s">
        <v>4329</v>
      </c>
      <c r="M1014" t="s">
        <v>4281</v>
      </c>
      <c r="N1014">
        <v>120.2</v>
      </c>
      <c r="O1014">
        <f t="shared" si="90"/>
        <v>120.2</v>
      </c>
      <c r="P1014" t="str">
        <f t="shared" si="91"/>
        <v>Dec</v>
      </c>
      <c r="Q1014" t="str">
        <f t="shared" si="92"/>
        <v>Q4</v>
      </c>
      <c r="R1014" s="5" t="str">
        <f t="shared" si="93"/>
        <v>Medium</v>
      </c>
      <c r="S1014" s="5" t="str">
        <f t="shared" si="94"/>
        <v>Pending</v>
      </c>
      <c r="T1014" s="5" t="str">
        <f t="shared" si="95"/>
        <v>Yes</v>
      </c>
    </row>
    <row r="1015" spans="1:20"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c r="O1015">
        <f t="shared" si="90"/>
        <v>1202.24</v>
      </c>
      <c r="P1015" t="str">
        <f t="shared" si="91"/>
        <v>Apr</v>
      </c>
      <c r="Q1015" t="str">
        <f t="shared" si="92"/>
        <v>Q2</v>
      </c>
      <c r="R1015" s="5" t="str">
        <f t="shared" si="93"/>
        <v>Large</v>
      </c>
      <c r="S1015" s="5" t="str">
        <f t="shared" si="94"/>
        <v>Pending</v>
      </c>
      <c r="T1015" s="5" t="str">
        <f t="shared" si="95"/>
        <v>Yes</v>
      </c>
    </row>
    <row r="1016" spans="1:20"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c r="O1016">
        <f t="shared" si="90"/>
        <v>1132.25</v>
      </c>
      <c r="P1016" t="str">
        <f t="shared" si="91"/>
        <v>Feb</v>
      </c>
      <c r="Q1016" t="str">
        <f t="shared" si="92"/>
        <v>Q1</v>
      </c>
      <c r="R1016" s="5" t="str">
        <f t="shared" si="93"/>
        <v>Large</v>
      </c>
      <c r="S1016" s="5" t="str">
        <f t="shared" si="94"/>
        <v>Pending</v>
      </c>
      <c r="T1016" s="5" t="str">
        <f t="shared" si="95"/>
        <v>Yes</v>
      </c>
    </row>
    <row r="1017" spans="1:20"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c r="O1017">
        <f t="shared" si="90"/>
        <v>698.8</v>
      </c>
      <c r="P1017" t="str">
        <f t="shared" si="91"/>
        <v>Jan</v>
      </c>
      <c r="Q1017" t="str">
        <f t="shared" si="92"/>
        <v>Q1</v>
      </c>
      <c r="R1017" s="5" t="str">
        <f t="shared" si="93"/>
        <v>Large</v>
      </c>
      <c r="S1017" s="5" t="str">
        <f t="shared" si="94"/>
        <v>Pending</v>
      </c>
      <c r="T1017" s="5" t="str">
        <f t="shared" si="95"/>
        <v>Yes</v>
      </c>
    </row>
    <row r="1018" spans="1:20"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c r="O1018">
        <f t="shared" si="90"/>
        <v>1343.8999999999999</v>
      </c>
      <c r="P1018" t="str">
        <f t="shared" si="91"/>
        <v>Dec</v>
      </c>
      <c r="Q1018" t="str">
        <f t="shared" si="92"/>
        <v>Q4</v>
      </c>
      <c r="R1018" s="5" t="str">
        <f t="shared" si="93"/>
        <v>Large</v>
      </c>
      <c r="S1018" s="5" t="str">
        <f t="shared" si="94"/>
        <v>Completed</v>
      </c>
      <c r="T1018" s="5" t="str">
        <f t="shared" si="95"/>
        <v>Yes</v>
      </c>
    </row>
    <row r="1019" spans="1:20"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c r="O1019">
        <f t="shared" si="90"/>
        <v>1361.7</v>
      </c>
      <c r="P1019" t="str">
        <f t="shared" si="91"/>
        <v>Aug</v>
      </c>
      <c r="Q1019" t="str">
        <f t="shared" si="92"/>
        <v>Q3</v>
      </c>
      <c r="R1019" s="5" t="str">
        <f t="shared" si="93"/>
        <v>Large</v>
      </c>
      <c r="S1019" s="5" t="str">
        <f t="shared" si="94"/>
        <v>Completed</v>
      </c>
      <c r="T1019" s="5" t="str">
        <f t="shared" si="95"/>
        <v>Yes</v>
      </c>
    </row>
    <row r="1020" spans="1:20" x14ac:dyDescent="0.35">
      <c r="A1020" t="s">
        <v>1032</v>
      </c>
      <c r="B1020" s="2">
        <v>45115</v>
      </c>
      <c r="C1020" t="s">
        <v>2224</v>
      </c>
      <c r="D1020" t="s">
        <v>2408</v>
      </c>
      <c r="E1020">
        <v>3</v>
      </c>
      <c r="F1020">
        <v>182.48</v>
      </c>
      <c r="G1020" t="s">
        <v>3004</v>
      </c>
      <c r="H1020" t="s">
        <v>3069</v>
      </c>
      <c r="I1020" t="s">
        <v>3073</v>
      </c>
      <c r="J1020" t="s">
        <v>4093</v>
      </c>
      <c r="K1020">
        <v>3</v>
      </c>
      <c r="L1020" t="s">
        <v>4329</v>
      </c>
      <c r="M1020" t="s">
        <v>4278</v>
      </c>
      <c r="N1020">
        <v>547.43999999999994</v>
      </c>
      <c r="O1020">
        <f t="shared" si="90"/>
        <v>547.43999999999994</v>
      </c>
      <c r="P1020" t="str">
        <f t="shared" si="91"/>
        <v>Jul</v>
      </c>
      <c r="Q1020" t="str">
        <f t="shared" si="92"/>
        <v>Q3</v>
      </c>
      <c r="R1020" s="5" t="str">
        <f t="shared" si="93"/>
        <v>Large</v>
      </c>
      <c r="S1020" s="5" t="str">
        <f t="shared" si="94"/>
        <v>Completed</v>
      </c>
      <c r="T1020" s="5" t="str">
        <f t="shared" si="95"/>
        <v>Yes</v>
      </c>
    </row>
    <row r="1021" spans="1:20"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c r="O1021">
        <f t="shared" si="90"/>
        <v>277.08999999999997</v>
      </c>
      <c r="P1021" t="str">
        <f t="shared" si="91"/>
        <v>Apr</v>
      </c>
      <c r="Q1021" t="str">
        <f t="shared" si="92"/>
        <v>Q2</v>
      </c>
      <c r="R1021" s="5" t="str">
        <f t="shared" si="93"/>
        <v>Medium</v>
      </c>
      <c r="S1021" s="5" t="str">
        <f t="shared" si="94"/>
        <v>Pending</v>
      </c>
      <c r="T1021" s="5" t="str">
        <f t="shared" si="95"/>
        <v>Yes</v>
      </c>
    </row>
    <row r="1022" spans="1:20"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c r="O1022">
        <f t="shared" si="90"/>
        <v>53</v>
      </c>
      <c r="P1022" t="str">
        <f t="shared" si="91"/>
        <v>Apr</v>
      </c>
      <c r="Q1022" t="str">
        <f t="shared" si="92"/>
        <v>Q2</v>
      </c>
      <c r="R1022" s="5" t="str">
        <f t="shared" si="93"/>
        <v>Small</v>
      </c>
      <c r="S1022" s="5" t="str">
        <f t="shared" si="94"/>
        <v>Completed</v>
      </c>
      <c r="T1022" s="5" t="str">
        <f t="shared" si="95"/>
        <v>Yes</v>
      </c>
    </row>
    <row r="1023" spans="1:20"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c r="O1023">
        <f t="shared" si="90"/>
        <v>945.81</v>
      </c>
      <c r="P1023" t="str">
        <f t="shared" si="91"/>
        <v>Oct</v>
      </c>
      <c r="Q1023" t="str">
        <f t="shared" si="92"/>
        <v>Q4</v>
      </c>
      <c r="R1023" s="5" t="str">
        <f t="shared" si="93"/>
        <v>Large</v>
      </c>
      <c r="S1023" s="5" t="str">
        <f t="shared" si="94"/>
        <v>Pending</v>
      </c>
      <c r="T1023" s="5" t="str">
        <f t="shared" si="95"/>
        <v>Yes</v>
      </c>
    </row>
    <row r="1024" spans="1:20"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c r="O1024">
        <f t="shared" si="90"/>
        <v>1352.94</v>
      </c>
      <c r="P1024" t="str">
        <f t="shared" si="91"/>
        <v>Feb</v>
      </c>
      <c r="Q1024" t="str">
        <f t="shared" si="92"/>
        <v>Q1</v>
      </c>
      <c r="R1024" s="5" t="str">
        <f t="shared" si="93"/>
        <v>Large</v>
      </c>
      <c r="S1024" s="5" t="str">
        <f t="shared" si="94"/>
        <v>Pending</v>
      </c>
      <c r="T1024" s="5" t="str">
        <f t="shared" si="95"/>
        <v>Yes</v>
      </c>
    </row>
    <row r="1025" spans="1:20" x14ac:dyDescent="0.35">
      <c r="A1025" t="s">
        <v>1037</v>
      </c>
      <c r="B1025" s="2">
        <v>45558</v>
      </c>
      <c r="C1025" t="s">
        <v>2229</v>
      </c>
      <c r="D1025" t="s">
        <v>2408</v>
      </c>
      <c r="E1025">
        <v>5</v>
      </c>
      <c r="F1025">
        <v>233.67</v>
      </c>
      <c r="G1025" t="s">
        <v>2493</v>
      </c>
      <c r="H1025" t="s">
        <v>3069</v>
      </c>
      <c r="I1025" t="s">
        <v>3070</v>
      </c>
      <c r="J1025" t="s">
        <v>4098</v>
      </c>
      <c r="K1025">
        <v>10</v>
      </c>
      <c r="L1025" t="s">
        <v>4329</v>
      </c>
      <c r="M1025" t="s">
        <v>4279</v>
      </c>
      <c r="N1025">
        <v>1168.3499999999999</v>
      </c>
      <c r="O1025">
        <f t="shared" si="90"/>
        <v>1168.3499999999999</v>
      </c>
      <c r="P1025" t="str">
        <f t="shared" si="91"/>
        <v>Sep</v>
      </c>
      <c r="Q1025" t="str">
        <f t="shared" si="92"/>
        <v>Q3</v>
      </c>
      <c r="R1025" s="5" t="str">
        <f t="shared" si="93"/>
        <v>Large</v>
      </c>
      <c r="S1025" s="5" t="str">
        <f t="shared" si="94"/>
        <v>Pending</v>
      </c>
      <c r="T1025" s="5" t="str">
        <f t="shared" si="95"/>
        <v>Yes</v>
      </c>
    </row>
    <row r="1026" spans="1:20"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c r="O1026">
        <f t="shared" ref="O1026:O1089" si="96">E1026*F1026</f>
        <v>1103.25</v>
      </c>
      <c r="P1026" t="str">
        <f t="shared" ref="P1026:P1089" si="97">TEXT(B1026, "mmm")</f>
        <v>Jan</v>
      </c>
      <c r="Q1026" t="str">
        <f t="shared" ref="Q1026:Q1089" si="98">"Q"&amp;ROUNDUP(MONTH(B1026)/3,0)</f>
        <v>Q1</v>
      </c>
      <c r="R1026" s="5" t="str">
        <f t="shared" ref="R1026:R1089" si="99">IF(N1026&lt;100,"Small", IF(N1026&lt;500, "Medium", "Large"))</f>
        <v>Large</v>
      </c>
      <c r="S1026" s="5" t="str">
        <f t="shared" ref="S1026:S1089" si="100">IF(I1026="Delivered","Completed","Pending")</f>
        <v>Pending</v>
      </c>
      <c r="T1026" s="5" t="str">
        <f t="shared" ref="T1026:T1089" si="101">IF(L1026="","No", "Yes")</f>
        <v>Yes</v>
      </c>
    </row>
    <row r="1027" spans="1:20"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c r="O1027">
        <f t="shared" si="96"/>
        <v>23.53</v>
      </c>
      <c r="P1027" t="str">
        <f t="shared" si="97"/>
        <v>May</v>
      </c>
      <c r="Q1027" t="str">
        <f t="shared" si="98"/>
        <v>Q2</v>
      </c>
      <c r="R1027" s="5" t="str">
        <f t="shared" si="99"/>
        <v>Small</v>
      </c>
      <c r="S1027" s="5" t="str">
        <f t="shared" si="100"/>
        <v>Completed</v>
      </c>
      <c r="T1027" s="5" t="str">
        <f t="shared" si="101"/>
        <v>Yes</v>
      </c>
    </row>
    <row r="1028" spans="1:20"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c r="O1028">
        <f t="shared" si="96"/>
        <v>677.48</v>
      </c>
      <c r="P1028" t="str">
        <f t="shared" si="97"/>
        <v>May</v>
      </c>
      <c r="Q1028" t="str">
        <f t="shared" si="98"/>
        <v>Q2</v>
      </c>
      <c r="R1028" s="5" t="str">
        <f t="shared" si="99"/>
        <v>Large</v>
      </c>
      <c r="S1028" s="5" t="str">
        <f t="shared" si="100"/>
        <v>Completed</v>
      </c>
      <c r="T1028" s="5" t="str">
        <f t="shared" si="101"/>
        <v>Yes</v>
      </c>
    </row>
    <row r="1029" spans="1:20" x14ac:dyDescent="0.35">
      <c r="A1029" t="s">
        <v>1041</v>
      </c>
      <c r="B1029" s="2">
        <v>45433</v>
      </c>
      <c r="C1029" t="s">
        <v>2233</v>
      </c>
      <c r="D1029" t="s">
        <v>2408</v>
      </c>
      <c r="E1029">
        <v>4</v>
      </c>
      <c r="F1029">
        <v>554.83000000000004</v>
      </c>
      <c r="G1029" t="s">
        <v>2908</v>
      </c>
      <c r="H1029" t="s">
        <v>3069</v>
      </c>
      <c r="I1029" t="s">
        <v>3072</v>
      </c>
      <c r="J1029" t="s">
        <v>4102</v>
      </c>
      <c r="K1029">
        <v>6</v>
      </c>
      <c r="L1029" t="s">
        <v>4329</v>
      </c>
      <c r="M1029" t="s">
        <v>4282</v>
      </c>
      <c r="N1029">
        <v>2219.3200000000002</v>
      </c>
      <c r="O1029">
        <f t="shared" si="96"/>
        <v>2219.3200000000002</v>
      </c>
      <c r="P1029" t="str">
        <f t="shared" si="97"/>
        <v>May</v>
      </c>
      <c r="Q1029" t="str">
        <f t="shared" si="98"/>
        <v>Q2</v>
      </c>
      <c r="R1029" s="5" t="str">
        <f t="shared" si="99"/>
        <v>Large</v>
      </c>
      <c r="S1029" s="5" t="str">
        <f t="shared" si="100"/>
        <v>Pending</v>
      </c>
      <c r="T1029" s="5" t="str">
        <f t="shared" si="101"/>
        <v>Yes</v>
      </c>
    </row>
    <row r="1030" spans="1:20" x14ac:dyDescent="0.35">
      <c r="A1030" t="s">
        <v>1042</v>
      </c>
      <c r="B1030" s="2">
        <v>44974</v>
      </c>
      <c r="C1030" t="s">
        <v>2234</v>
      </c>
      <c r="D1030" t="s">
        <v>2409</v>
      </c>
      <c r="E1030">
        <v>4</v>
      </c>
      <c r="F1030">
        <v>440.31</v>
      </c>
      <c r="G1030" t="s">
        <v>2610</v>
      </c>
      <c r="H1030" t="s">
        <v>3069</v>
      </c>
      <c r="I1030" t="s">
        <v>3071</v>
      </c>
      <c r="J1030" t="s">
        <v>4103</v>
      </c>
      <c r="K1030">
        <v>6</v>
      </c>
      <c r="L1030" t="s">
        <v>4329</v>
      </c>
      <c r="M1030" t="s">
        <v>4278</v>
      </c>
      <c r="N1030">
        <v>1761.24</v>
      </c>
      <c r="O1030">
        <f t="shared" si="96"/>
        <v>1761.24</v>
      </c>
      <c r="P1030" t="str">
        <f t="shared" si="97"/>
        <v>Feb</v>
      </c>
      <c r="Q1030" t="str">
        <f t="shared" si="98"/>
        <v>Q1</v>
      </c>
      <c r="R1030" s="5" t="str">
        <f t="shared" si="99"/>
        <v>Large</v>
      </c>
      <c r="S1030" s="5" t="str">
        <f t="shared" si="100"/>
        <v>Pending</v>
      </c>
      <c r="T1030" s="5" t="str">
        <f t="shared" si="101"/>
        <v>Yes</v>
      </c>
    </row>
    <row r="1031" spans="1:20"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c r="O1031">
        <f t="shared" si="96"/>
        <v>87.06</v>
      </c>
      <c r="P1031" t="str">
        <f t="shared" si="97"/>
        <v>Mar</v>
      </c>
      <c r="Q1031" t="str">
        <f t="shared" si="98"/>
        <v>Q1</v>
      </c>
      <c r="R1031" s="5" t="str">
        <f t="shared" si="99"/>
        <v>Small</v>
      </c>
      <c r="S1031" s="5" t="str">
        <f t="shared" si="100"/>
        <v>Pending</v>
      </c>
      <c r="T1031" s="5" t="str">
        <f t="shared" si="101"/>
        <v>Yes</v>
      </c>
    </row>
    <row r="1032" spans="1:20"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c r="O1032">
        <f t="shared" si="96"/>
        <v>981.12</v>
      </c>
      <c r="P1032" t="str">
        <f t="shared" si="97"/>
        <v>Oct</v>
      </c>
      <c r="Q1032" t="str">
        <f t="shared" si="98"/>
        <v>Q4</v>
      </c>
      <c r="R1032" s="5" t="str">
        <f t="shared" si="99"/>
        <v>Large</v>
      </c>
      <c r="S1032" s="5" t="str">
        <f t="shared" si="100"/>
        <v>Completed</v>
      </c>
      <c r="T1032" s="5" t="str">
        <f t="shared" si="101"/>
        <v>Yes</v>
      </c>
    </row>
    <row r="1033" spans="1:20"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c r="O1033">
        <f t="shared" si="96"/>
        <v>3322.55</v>
      </c>
      <c r="P1033" t="str">
        <f t="shared" si="97"/>
        <v>Feb</v>
      </c>
      <c r="Q1033" t="str">
        <f t="shared" si="98"/>
        <v>Q1</v>
      </c>
      <c r="R1033" s="5" t="str">
        <f t="shared" si="99"/>
        <v>Large</v>
      </c>
      <c r="S1033" s="5" t="str">
        <f t="shared" si="100"/>
        <v>Pending</v>
      </c>
      <c r="T1033" s="5" t="str">
        <f t="shared" si="101"/>
        <v>Yes</v>
      </c>
    </row>
    <row r="1034" spans="1:20"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c r="O1034">
        <f t="shared" si="96"/>
        <v>618.67999999999995</v>
      </c>
      <c r="P1034" t="str">
        <f t="shared" si="97"/>
        <v>Apr</v>
      </c>
      <c r="Q1034" t="str">
        <f t="shared" si="98"/>
        <v>Q2</v>
      </c>
      <c r="R1034" s="5" t="str">
        <f t="shared" si="99"/>
        <v>Large</v>
      </c>
      <c r="S1034" s="5" t="str">
        <f t="shared" si="100"/>
        <v>Completed</v>
      </c>
      <c r="T1034" s="5" t="str">
        <f t="shared" si="101"/>
        <v>Yes</v>
      </c>
    </row>
    <row r="1035" spans="1:20"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c r="O1035">
        <f t="shared" si="96"/>
        <v>370.85</v>
      </c>
      <c r="P1035" t="str">
        <f t="shared" si="97"/>
        <v>Dec</v>
      </c>
      <c r="Q1035" t="str">
        <f t="shared" si="98"/>
        <v>Q4</v>
      </c>
      <c r="R1035" s="5" t="str">
        <f t="shared" si="99"/>
        <v>Medium</v>
      </c>
      <c r="S1035" s="5" t="str">
        <f t="shared" si="100"/>
        <v>Completed</v>
      </c>
      <c r="T1035" s="5" t="str">
        <f t="shared" si="101"/>
        <v>Yes</v>
      </c>
    </row>
    <row r="1036" spans="1:20"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c r="O1036">
        <f t="shared" si="96"/>
        <v>2071.92</v>
      </c>
      <c r="P1036" t="str">
        <f t="shared" si="97"/>
        <v>Jun</v>
      </c>
      <c r="Q1036" t="str">
        <f t="shared" si="98"/>
        <v>Q2</v>
      </c>
      <c r="R1036" s="5" t="str">
        <f t="shared" si="99"/>
        <v>Large</v>
      </c>
      <c r="S1036" s="5" t="str">
        <f t="shared" si="100"/>
        <v>Pending</v>
      </c>
      <c r="T1036" s="5" t="str">
        <f t="shared" si="101"/>
        <v>Yes</v>
      </c>
    </row>
    <row r="1037" spans="1:20" x14ac:dyDescent="0.35">
      <c r="A1037" t="s">
        <v>1049</v>
      </c>
      <c r="B1037" s="2">
        <v>45242</v>
      </c>
      <c r="C1037" t="s">
        <v>2241</v>
      </c>
      <c r="D1037" t="s">
        <v>2408</v>
      </c>
      <c r="E1037">
        <v>4</v>
      </c>
      <c r="F1037">
        <v>506.11</v>
      </c>
      <c r="G1037" t="s">
        <v>3009</v>
      </c>
      <c r="H1037" t="s">
        <v>3069</v>
      </c>
      <c r="I1037" t="s">
        <v>3071</v>
      </c>
      <c r="J1037" t="s">
        <v>4110</v>
      </c>
      <c r="K1037">
        <v>5</v>
      </c>
      <c r="L1037" t="s">
        <v>4329</v>
      </c>
      <c r="M1037" t="s">
        <v>4279</v>
      </c>
      <c r="N1037">
        <v>2024.44</v>
      </c>
      <c r="O1037">
        <f t="shared" si="96"/>
        <v>2024.44</v>
      </c>
      <c r="P1037" t="str">
        <f t="shared" si="97"/>
        <v>Nov</v>
      </c>
      <c r="Q1037" t="str">
        <f t="shared" si="98"/>
        <v>Q4</v>
      </c>
      <c r="R1037" s="5" t="str">
        <f t="shared" si="99"/>
        <v>Large</v>
      </c>
      <c r="S1037" s="5" t="str">
        <f t="shared" si="100"/>
        <v>Pending</v>
      </c>
      <c r="T1037" s="5" t="str">
        <f t="shared" si="101"/>
        <v>Yes</v>
      </c>
    </row>
    <row r="1038" spans="1:20"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c r="O1038">
        <f t="shared" si="96"/>
        <v>1241.49</v>
      </c>
      <c r="P1038" t="str">
        <f t="shared" si="97"/>
        <v>May</v>
      </c>
      <c r="Q1038" t="str">
        <f t="shared" si="98"/>
        <v>Q2</v>
      </c>
      <c r="R1038" s="5" t="str">
        <f t="shared" si="99"/>
        <v>Large</v>
      </c>
      <c r="S1038" s="5" t="str">
        <f t="shared" si="100"/>
        <v>Pending</v>
      </c>
      <c r="T1038" s="5" t="str">
        <f t="shared" si="101"/>
        <v>Yes</v>
      </c>
    </row>
    <row r="1039" spans="1:20"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c r="O1039">
        <f t="shared" si="96"/>
        <v>249.81</v>
      </c>
      <c r="P1039" t="str">
        <f t="shared" si="97"/>
        <v>Dec</v>
      </c>
      <c r="Q1039" t="str">
        <f t="shared" si="98"/>
        <v>Q4</v>
      </c>
      <c r="R1039" s="5" t="str">
        <f t="shared" si="99"/>
        <v>Medium</v>
      </c>
      <c r="S1039" s="5" t="str">
        <f t="shared" si="100"/>
        <v>Pending</v>
      </c>
      <c r="T1039" s="5" t="str">
        <f t="shared" si="101"/>
        <v>Yes</v>
      </c>
    </row>
    <row r="1040" spans="1:20" x14ac:dyDescent="0.35">
      <c r="A1040" t="s">
        <v>1052</v>
      </c>
      <c r="B1040" s="2">
        <v>45731</v>
      </c>
      <c r="C1040" t="s">
        <v>2244</v>
      </c>
      <c r="D1040" t="s">
        <v>2405</v>
      </c>
      <c r="E1040">
        <v>3</v>
      </c>
      <c r="F1040">
        <v>362.53</v>
      </c>
      <c r="G1040" t="s">
        <v>3010</v>
      </c>
      <c r="H1040" t="s">
        <v>3065</v>
      </c>
      <c r="I1040" t="s">
        <v>3072</v>
      </c>
      <c r="J1040" t="s">
        <v>4113</v>
      </c>
      <c r="K1040">
        <v>5</v>
      </c>
      <c r="L1040" t="s">
        <v>4329</v>
      </c>
      <c r="M1040" t="s">
        <v>4281</v>
      </c>
      <c r="N1040">
        <v>1087.5899999999999</v>
      </c>
      <c r="O1040">
        <f t="shared" si="96"/>
        <v>1087.5899999999999</v>
      </c>
      <c r="P1040" t="str">
        <f t="shared" si="97"/>
        <v>Mar</v>
      </c>
      <c r="Q1040" t="str">
        <f t="shared" si="98"/>
        <v>Q1</v>
      </c>
      <c r="R1040" s="5" t="str">
        <f t="shared" si="99"/>
        <v>Large</v>
      </c>
      <c r="S1040" s="5" t="str">
        <f t="shared" si="100"/>
        <v>Pending</v>
      </c>
      <c r="T1040" s="5" t="str">
        <f t="shared" si="101"/>
        <v>Yes</v>
      </c>
    </row>
    <row r="1041" spans="1:20"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c r="O1041">
        <f t="shared" si="96"/>
        <v>598.46</v>
      </c>
      <c r="P1041" t="str">
        <f t="shared" si="97"/>
        <v>Jun</v>
      </c>
      <c r="Q1041" t="str">
        <f t="shared" si="98"/>
        <v>Q2</v>
      </c>
      <c r="R1041" s="5" t="str">
        <f t="shared" si="99"/>
        <v>Large</v>
      </c>
      <c r="S1041" s="5" t="str">
        <f t="shared" si="100"/>
        <v>Pending</v>
      </c>
      <c r="T1041" s="5" t="str">
        <f t="shared" si="101"/>
        <v>Yes</v>
      </c>
    </row>
    <row r="1042" spans="1:20"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c r="O1042">
        <f t="shared" si="96"/>
        <v>536.07000000000005</v>
      </c>
      <c r="P1042" t="str">
        <f t="shared" si="97"/>
        <v>Nov</v>
      </c>
      <c r="Q1042" t="str">
        <f t="shared" si="98"/>
        <v>Q4</v>
      </c>
      <c r="R1042" s="5" t="str">
        <f t="shared" si="99"/>
        <v>Large</v>
      </c>
      <c r="S1042" s="5" t="str">
        <f t="shared" si="100"/>
        <v>Completed</v>
      </c>
      <c r="T1042" s="5" t="str">
        <f t="shared" si="101"/>
        <v>Yes</v>
      </c>
    </row>
    <row r="1043" spans="1:20"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c r="O1043">
        <f t="shared" si="96"/>
        <v>2235.6</v>
      </c>
      <c r="P1043" t="str">
        <f t="shared" si="97"/>
        <v>Feb</v>
      </c>
      <c r="Q1043" t="str">
        <f t="shared" si="98"/>
        <v>Q1</v>
      </c>
      <c r="R1043" s="5" t="str">
        <f t="shared" si="99"/>
        <v>Large</v>
      </c>
      <c r="S1043" s="5" t="str">
        <f t="shared" si="100"/>
        <v>Pending</v>
      </c>
      <c r="T1043" s="5" t="str">
        <f t="shared" si="101"/>
        <v>Yes</v>
      </c>
    </row>
    <row r="1044" spans="1:20"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c r="O1044">
        <f t="shared" si="96"/>
        <v>819.5</v>
      </c>
      <c r="P1044" t="str">
        <f t="shared" si="97"/>
        <v>Dec</v>
      </c>
      <c r="Q1044" t="str">
        <f t="shared" si="98"/>
        <v>Q4</v>
      </c>
      <c r="R1044" s="5" t="str">
        <f t="shared" si="99"/>
        <v>Large</v>
      </c>
      <c r="S1044" s="5" t="str">
        <f t="shared" si="100"/>
        <v>Pending</v>
      </c>
      <c r="T1044" s="5" t="str">
        <f t="shared" si="101"/>
        <v>Yes</v>
      </c>
    </row>
    <row r="1045" spans="1:20" x14ac:dyDescent="0.35">
      <c r="A1045" t="s">
        <v>1057</v>
      </c>
      <c r="B1045" s="2">
        <v>45668</v>
      </c>
      <c r="C1045" t="s">
        <v>2249</v>
      </c>
      <c r="D1045" t="s">
        <v>2405</v>
      </c>
      <c r="E1045">
        <v>2</v>
      </c>
      <c r="F1045">
        <v>179.96</v>
      </c>
      <c r="G1045" t="s">
        <v>2991</v>
      </c>
      <c r="H1045" t="s">
        <v>3068</v>
      </c>
      <c r="I1045" t="s">
        <v>3070</v>
      </c>
      <c r="J1045" t="s">
        <v>4118</v>
      </c>
      <c r="K1045">
        <v>5</v>
      </c>
      <c r="L1045" t="s">
        <v>4329</v>
      </c>
      <c r="M1045" t="s">
        <v>4278</v>
      </c>
      <c r="N1045">
        <v>359.92</v>
      </c>
      <c r="O1045">
        <f t="shared" si="96"/>
        <v>359.92</v>
      </c>
      <c r="P1045" t="str">
        <f t="shared" si="97"/>
        <v>Jan</v>
      </c>
      <c r="Q1045" t="str">
        <f t="shared" si="98"/>
        <v>Q1</v>
      </c>
      <c r="R1045" s="5" t="str">
        <f t="shared" si="99"/>
        <v>Medium</v>
      </c>
      <c r="S1045" s="5" t="str">
        <f t="shared" si="100"/>
        <v>Pending</v>
      </c>
      <c r="T1045" s="5" t="str">
        <f t="shared" si="101"/>
        <v>Yes</v>
      </c>
    </row>
    <row r="1046" spans="1:20"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c r="O1046">
        <f t="shared" si="96"/>
        <v>38.49</v>
      </c>
      <c r="P1046" t="str">
        <f t="shared" si="97"/>
        <v>Jun</v>
      </c>
      <c r="Q1046" t="str">
        <f t="shared" si="98"/>
        <v>Q2</v>
      </c>
      <c r="R1046" s="5" t="str">
        <f t="shared" si="99"/>
        <v>Small</v>
      </c>
      <c r="S1046" s="5" t="str">
        <f t="shared" si="100"/>
        <v>Completed</v>
      </c>
      <c r="T1046" s="5" t="str">
        <f t="shared" si="101"/>
        <v>Yes</v>
      </c>
    </row>
    <row r="1047" spans="1:20" x14ac:dyDescent="0.35">
      <c r="A1047" t="s">
        <v>1059</v>
      </c>
      <c r="B1047" s="2">
        <v>45555</v>
      </c>
      <c r="C1047" t="s">
        <v>2251</v>
      </c>
      <c r="D1047" t="s">
        <v>2408</v>
      </c>
      <c r="E1047">
        <v>5</v>
      </c>
      <c r="F1047">
        <v>316.39999999999998</v>
      </c>
      <c r="G1047" t="s">
        <v>3013</v>
      </c>
      <c r="H1047" t="s">
        <v>3068</v>
      </c>
      <c r="I1047" t="s">
        <v>3072</v>
      </c>
      <c r="J1047" t="s">
        <v>4120</v>
      </c>
      <c r="K1047">
        <v>7</v>
      </c>
      <c r="L1047" t="s">
        <v>4329</v>
      </c>
      <c r="M1047" t="s">
        <v>4280</v>
      </c>
      <c r="N1047">
        <v>1582</v>
      </c>
      <c r="O1047">
        <f t="shared" si="96"/>
        <v>1582</v>
      </c>
      <c r="P1047" t="str">
        <f t="shared" si="97"/>
        <v>Sep</v>
      </c>
      <c r="Q1047" t="str">
        <f t="shared" si="98"/>
        <v>Q3</v>
      </c>
      <c r="R1047" s="5" t="str">
        <f t="shared" si="99"/>
        <v>Large</v>
      </c>
      <c r="S1047" s="5" t="str">
        <f t="shared" si="100"/>
        <v>Pending</v>
      </c>
      <c r="T1047" s="5" t="str">
        <f t="shared" si="101"/>
        <v>Yes</v>
      </c>
    </row>
    <row r="1048" spans="1:20"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c r="O1048">
        <f t="shared" si="96"/>
        <v>1641.4499999999998</v>
      </c>
      <c r="P1048" t="str">
        <f t="shared" si="97"/>
        <v>Oct</v>
      </c>
      <c r="Q1048" t="str">
        <f t="shared" si="98"/>
        <v>Q4</v>
      </c>
      <c r="R1048" s="5" t="str">
        <f t="shared" si="99"/>
        <v>Large</v>
      </c>
      <c r="S1048" s="5" t="str">
        <f t="shared" si="100"/>
        <v>Pending</v>
      </c>
      <c r="T1048" s="5" t="str">
        <f t="shared" si="101"/>
        <v>Yes</v>
      </c>
    </row>
    <row r="1049" spans="1:20"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c r="O1049">
        <f t="shared" si="96"/>
        <v>2161.36</v>
      </c>
      <c r="P1049" t="str">
        <f t="shared" si="97"/>
        <v>Jun</v>
      </c>
      <c r="Q1049" t="str">
        <f t="shared" si="98"/>
        <v>Q2</v>
      </c>
      <c r="R1049" s="5" t="str">
        <f t="shared" si="99"/>
        <v>Large</v>
      </c>
      <c r="S1049" s="5" t="str">
        <f t="shared" si="100"/>
        <v>Pending</v>
      </c>
      <c r="T1049" s="5" t="str">
        <f t="shared" si="101"/>
        <v>Yes</v>
      </c>
    </row>
    <row r="1050" spans="1:20" x14ac:dyDescent="0.35">
      <c r="A1050" t="s">
        <v>1062</v>
      </c>
      <c r="B1050" s="2">
        <v>45544</v>
      </c>
      <c r="C1050" t="s">
        <v>2254</v>
      </c>
      <c r="D1050" t="s">
        <v>2403</v>
      </c>
      <c r="E1050">
        <v>4</v>
      </c>
      <c r="F1050">
        <v>73.650000000000006</v>
      </c>
      <c r="G1050" t="s">
        <v>3016</v>
      </c>
      <c r="H1050" t="s">
        <v>3065</v>
      </c>
      <c r="I1050" t="s">
        <v>3070</v>
      </c>
      <c r="J1050" t="s">
        <v>4123</v>
      </c>
      <c r="K1050">
        <v>9</v>
      </c>
      <c r="L1050" t="s">
        <v>4329</v>
      </c>
      <c r="M1050" t="s">
        <v>4282</v>
      </c>
      <c r="N1050">
        <v>294.60000000000002</v>
      </c>
      <c r="O1050">
        <f t="shared" si="96"/>
        <v>294.60000000000002</v>
      </c>
      <c r="P1050" t="str">
        <f t="shared" si="97"/>
        <v>Sep</v>
      </c>
      <c r="Q1050" t="str">
        <f t="shared" si="98"/>
        <v>Q3</v>
      </c>
      <c r="R1050" s="5" t="str">
        <f t="shared" si="99"/>
        <v>Medium</v>
      </c>
      <c r="S1050" s="5" t="str">
        <f t="shared" si="100"/>
        <v>Pending</v>
      </c>
      <c r="T1050" s="5" t="str">
        <f t="shared" si="101"/>
        <v>Yes</v>
      </c>
    </row>
    <row r="1051" spans="1:20" x14ac:dyDescent="0.35">
      <c r="A1051" t="s">
        <v>1063</v>
      </c>
      <c r="B1051" s="2">
        <v>45491</v>
      </c>
      <c r="C1051" t="s">
        <v>2255</v>
      </c>
      <c r="D1051" t="s">
        <v>2409</v>
      </c>
      <c r="E1051">
        <v>5</v>
      </c>
      <c r="F1051">
        <v>391.86</v>
      </c>
      <c r="G1051" t="s">
        <v>2430</v>
      </c>
      <c r="H1051" t="s">
        <v>3067</v>
      </c>
      <c r="I1051" t="s">
        <v>3070</v>
      </c>
      <c r="J1051" t="s">
        <v>4124</v>
      </c>
      <c r="K1051">
        <v>6</v>
      </c>
      <c r="L1051" t="s">
        <v>4329</v>
      </c>
      <c r="M1051" t="s">
        <v>4278</v>
      </c>
      <c r="N1051">
        <v>1959.3</v>
      </c>
      <c r="O1051">
        <f t="shared" si="96"/>
        <v>1959.3000000000002</v>
      </c>
      <c r="P1051" t="str">
        <f t="shared" si="97"/>
        <v>Jul</v>
      </c>
      <c r="Q1051" t="str">
        <f t="shared" si="98"/>
        <v>Q3</v>
      </c>
      <c r="R1051" s="5" t="str">
        <f t="shared" si="99"/>
        <v>Large</v>
      </c>
      <c r="S1051" s="5" t="str">
        <f t="shared" si="100"/>
        <v>Pending</v>
      </c>
      <c r="T1051" s="5" t="str">
        <f t="shared" si="101"/>
        <v>Yes</v>
      </c>
    </row>
    <row r="1052" spans="1:20" x14ac:dyDescent="0.35">
      <c r="A1052" t="s">
        <v>1064</v>
      </c>
      <c r="B1052" s="2">
        <v>45158</v>
      </c>
      <c r="C1052" t="s">
        <v>2256</v>
      </c>
      <c r="D1052" t="s">
        <v>2408</v>
      </c>
      <c r="E1052">
        <v>5</v>
      </c>
      <c r="F1052">
        <v>69.7</v>
      </c>
      <c r="G1052" t="s">
        <v>2805</v>
      </c>
      <c r="H1052" t="s">
        <v>3066</v>
      </c>
      <c r="I1052" t="s">
        <v>3072</v>
      </c>
      <c r="J1052" t="s">
        <v>4125</v>
      </c>
      <c r="K1052">
        <v>9</v>
      </c>
      <c r="L1052" t="s">
        <v>4329</v>
      </c>
      <c r="M1052" t="s">
        <v>4278</v>
      </c>
      <c r="N1052">
        <v>348.5</v>
      </c>
      <c r="O1052">
        <f t="shared" si="96"/>
        <v>348.5</v>
      </c>
      <c r="P1052" t="str">
        <f t="shared" si="97"/>
        <v>Aug</v>
      </c>
      <c r="Q1052" t="str">
        <f t="shared" si="98"/>
        <v>Q3</v>
      </c>
      <c r="R1052" s="5" t="str">
        <f t="shared" si="99"/>
        <v>Medium</v>
      </c>
      <c r="S1052" s="5" t="str">
        <f t="shared" si="100"/>
        <v>Pending</v>
      </c>
      <c r="T1052" s="5" t="str">
        <f t="shared" si="101"/>
        <v>Yes</v>
      </c>
    </row>
    <row r="1053" spans="1:20"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c r="O1053">
        <f t="shared" si="96"/>
        <v>132.15</v>
      </c>
      <c r="P1053" t="str">
        <f t="shared" si="97"/>
        <v>Mar</v>
      </c>
      <c r="Q1053" t="str">
        <f t="shared" si="98"/>
        <v>Q1</v>
      </c>
      <c r="R1053" s="5" t="str">
        <f t="shared" si="99"/>
        <v>Medium</v>
      </c>
      <c r="S1053" s="5" t="str">
        <f t="shared" si="100"/>
        <v>Pending</v>
      </c>
      <c r="T1053" s="5" t="str">
        <f t="shared" si="101"/>
        <v>Yes</v>
      </c>
    </row>
    <row r="1054" spans="1:20"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c r="O1054">
        <f t="shared" si="96"/>
        <v>531.74</v>
      </c>
      <c r="P1054" t="str">
        <f t="shared" si="97"/>
        <v>Sep</v>
      </c>
      <c r="Q1054" t="str">
        <f t="shared" si="98"/>
        <v>Q3</v>
      </c>
      <c r="R1054" s="5" t="str">
        <f t="shared" si="99"/>
        <v>Large</v>
      </c>
      <c r="S1054" s="5" t="str">
        <f t="shared" si="100"/>
        <v>Pending</v>
      </c>
      <c r="T1054" s="5" t="str">
        <f t="shared" si="101"/>
        <v>Yes</v>
      </c>
    </row>
    <row r="1055" spans="1:20"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c r="O1055">
        <f t="shared" si="96"/>
        <v>993.24</v>
      </c>
      <c r="P1055" t="str">
        <f t="shared" si="97"/>
        <v>Sep</v>
      </c>
      <c r="Q1055" t="str">
        <f t="shared" si="98"/>
        <v>Q3</v>
      </c>
      <c r="R1055" s="5" t="str">
        <f t="shared" si="99"/>
        <v>Large</v>
      </c>
      <c r="S1055" s="5" t="str">
        <f t="shared" si="100"/>
        <v>Pending</v>
      </c>
      <c r="T1055" s="5" t="str">
        <f t="shared" si="101"/>
        <v>Yes</v>
      </c>
    </row>
    <row r="1056" spans="1:20"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c r="O1056">
        <f t="shared" si="96"/>
        <v>660.66</v>
      </c>
      <c r="P1056" t="str">
        <f t="shared" si="97"/>
        <v>Nov</v>
      </c>
      <c r="Q1056" t="str">
        <f t="shared" si="98"/>
        <v>Q4</v>
      </c>
      <c r="R1056" s="5" t="str">
        <f t="shared" si="99"/>
        <v>Large</v>
      </c>
      <c r="S1056" s="5" t="str">
        <f t="shared" si="100"/>
        <v>Completed</v>
      </c>
      <c r="T1056" s="5" t="str">
        <f t="shared" si="101"/>
        <v>Yes</v>
      </c>
    </row>
    <row r="1057" spans="1:20"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c r="O1057">
        <f t="shared" si="96"/>
        <v>1099.28</v>
      </c>
      <c r="P1057" t="str">
        <f t="shared" si="97"/>
        <v>Oct</v>
      </c>
      <c r="Q1057" t="str">
        <f t="shared" si="98"/>
        <v>Q4</v>
      </c>
      <c r="R1057" s="5" t="str">
        <f t="shared" si="99"/>
        <v>Large</v>
      </c>
      <c r="S1057" s="5" t="str">
        <f t="shared" si="100"/>
        <v>Completed</v>
      </c>
      <c r="T1057" s="5" t="str">
        <f t="shared" si="101"/>
        <v>Yes</v>
      </c>
    </row>
    <row r="1058" spans="1:20"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c r="O1058">
        <f t="shared" si="96"/>
        <v>972.7</v>
      </c>
      <c r="P1058" t="str">
        <f t="shared" si="97"/>
        <v>Jun</v>
      </c>
      <c r="Q1058" t="str">
        <f t="shared" si="98"/>
        <v>Q2</v>
      </c>
      <c r="R1058" s="5" t="str">
        <f t="shared" si="99"/>
        <v>Large</v>
      </c>
      <c r="S1058" s="5" t="str">
        <f t="shared" si="100"/>
        <v>Pending</v>
      </c>
      <c r="T1058" s="5" t="str">
        <f t="shared" si="101"/>
        <v>Yes</v>
      </c>
    </row>
    <row r="1059" spans="1:20"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c r="O1059">
        <f t="shared" si="96"/>
        <v>1286.6399999999999</v>
      </c>
      <c r="P1059" t="str">
        <f t="shared" si="97"/>
        <v>Sep</v>
      </c>
      <c r="Q1059" t="str">
        <f t="shared" si="98"/>
        <v>Q3</v>
      </c>
      <c r="R1059" s="5" t="str">
        <f t="shared" si="99"/>
        <v>Large</v>
      </c>
      <c r="S1059" s="5" t="str">
        <f t="shared" si="100"/>
        <v>Pending</v>
      </c>
      <c r="T1059" s="5" t="str">
        <f t="shared" si="101"/>
        <v>Yes</v>
      </c>
    </row>
    <row r="1060" spans="1:20"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c r="O1060">
        <f t="shared" si="96"/>
        <v>824.28</v>
      </c>
      <c r="P1060" t="str">
        <f t="shared" si="97"/>
        <v>Sep</v>
      </c>
      <c r="Q1060" t="str">
        <f t="shared" si="98"/>
        <v>Q3</v>
      </c>
      <c r="R1060" s="5" t="str">
        <f t="shared" si="99"/>
        <v>Large</v>
      </c>
      <c r="S1060" s="5" t="str">
        <f t="shared" si="100"/>
        <v>Pending</v>
      </c>
      <c r="T1060" s="5" t="str">
        <f t="shared" si="101"/>
        <v>Yes</v>
      </c>
    </row>
    <row r="1061" spans="1:20"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c r="O1061">
        <f t="shared" si="96"/>
        <v>265.64</v>
      </c>
      <c r="P1061" t="str">
        <f t="shared" si="97"/>
        <v>Sep</v>
      </c>
      <c r="Q1061" t="str">
        <f t="shared" si="98"/>
        <v>Q3</v>
      </c>
      <c r="R1061" s="5" t="str">
        <f t="shared" si="99"/>
        <v>Medium</v>
      </c>
      <c r="S1061" s="5" t="str">
        <f t="shared" si="100"/>
        <v>Pending</v>
      </c>
      <c r="T1061" s="5" t="str">
        <f t="shared" si="101"/>
        <v>Yes</v>
      </c>
    </row>
    <row r="1062" spans="1:20"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c r="O1062">
        <f t="shared" si="96"/>
        <v>546.86</v>
      </c>
      <c r="P1062" t="str">
        <f t="shared" si="97"/>
        <v>May</v>
      </c>
      <c r="Q1062" t="str">
        <f t="shared" si="98"/>
        <v>Q2</v>
      </c>
      <c r="R1062" s="5" t="str">
        <f t="shared" si="99"/>
        <v>Large</v>
      </c>
      <c r="S1062" s="5" t="str">
        <f t="shared" si="100"/>
        <v>Pending</v>
      </c>
      <c r="T1062" s="5" t="str">
        <f t="shared" si="101"/>
        <v>Yes</v>
      </c>
    </row>
    <row r="1063" spans="1:20"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c r="O1063">
        <f t="shared" si="96"/>
        <v>658.5</v>
      </c>
      <c r="P1063" t="str">
        <f t="shared" si="97"/>
        <v>Jan</v>
      </c>
      <c r="Q1063" t="str">
        <f t="shared" si="98"/>
        <v>Q1</v>
      </c>
      <c r="R1063" s="5" t="str">
        <f t="shared" si="99"/>
        <v>Large</v>
      </c>
      <c r="S1063" s="5" t="str">
        <f t="shared" si="100"/>
        <v>Pending</v>
      </c>
      <c r="T1063" s="5" t="str">
        <f t="shared" si="101"/>
        <v>Yes</v>
      </c>
    </row>
    <row r="1064" spans="1:20" x14ac:dyDescent="0.35">
      <c r="A1064" t="s">
        <v>1076</v>
      </c>
      <c r="B1064" s="2">
        <v>45161</v>
      </c>
      <c r="C1064" t="s">
        <v>2268</v>
      </c>
      <c r="D1064" t="s">
        <v>2406</v>
      </c>
      <c r="E1064">
        <v>5</v>
      </c>
      <c r="F1064">
        <v>85.52</v>
      </c>
      <c r="G1064" t="s">
        <v>2676</v>
      </c>
      <c r="H1064" t="s">
        <v>3068</v>
      </c>
      <c r="I1064" t="s">
        <v>3071</v>
      </c>
      <c r="J1064" t="s">
        <v>4137</v>
      </c>
      <c r="K1064">
        <v>5</v>
      </c>
      <c r="L1064" t="s">
        <v>4329</v>
      </c>
      <c r="M1064" t="s">
        <v>4281</v>
      </c>
      <c r="N1064">
        <v>427.6</v>
      </c>
      <c r="O1064">
        <f t="shared" si="96"/>
        <v>427.59999999999997</v>
      </c>
      <c r="P1064" t="str">
        <f t="shared" si="97"/>
        <v>Aug</v>
      </c>
      <c r="Q1064" t="str">
        <f t="shared" si="98"/>
        <v>Q3</v>
      </c>
      <c r="R1064" s="5" t="str">
        <f t="shared" si="99"/>
        <v>Medium</v>
      </c>
      <c r="S1064" s="5" t="str">
        <f t="shared" si="100"/>
        <v>Pending</v>
      </c>
      <c r="T1064" s="5" t="str">
        <f t="shared" si="101"/>
        <v>Yes</v>
      </c>
    </row>
    <row r="1065" spans="1:20"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c r="O1065">
        <f t="shared" si="96"/>
        <v>641.36</v>
      </c>
      <c r="P1065" t="str">
        <f t="shared" si="97"/>
        <v>Jun</v>
      </c>
      <c r="Q1065" t="str">
        <f t="shared" si="98"/>
        <v>Q2</v>
      </c>
      <c r="R1065" s="5" t="str">
        <f t="shared" si="99"/>
        <v>Large</v>
      </c>
      <c r="S1065" s="5" t="str">
        <f t="shared" si="100"/>
        <v>Pending</v>
      </c>
      <c r="T1065" s="5" t="str">
        <f t="shared" si="101"/>
        <v>Yes</v>
      </c>
    </row>
    <row r="1066" spans="1:20"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c r="O1066">
        <f t="shared" si="96"/>
        <v>795.24</v>
      </c>
      <c r="P1066" t="str">
        <f t="shared" si="97"/>
        <v>Feb</v>
      </c>
      <c r="Q1066" t="str">
        <f t="shared" si="98"/>
        <v>Q1</v>
      </c>
      <c r="R1066" s="5" t="str">
        <f t="shared" si="99"/>
        <v>Large</v>
      </c>
      <c r="S1066" s="5" t="str">
        <f t="shared" si="100"/>
        <v>Pending</v>
      </c>
      <c r="T1066" s="5" t="str">
        <f t="shared" si="101"/>
        <v>Yes</v>
      </c>
    </row>
    <row r="1067" spans="1:20"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c r="O1067">
        <f t="shared" si="96"/>
        <v>3334</v>
      </c>
      <c r="P1067" t="str">
        <f t="shared" si="97"/>
        <v>Oct</v>
      </c>
      <c r="Q1067" t="str">
        <f t="shared" si="98"/>
        <v>Q4</v>
      </c>
      <c r="R1067" s="5" t="str">
        <f t="shared" si="99"/>
        <v>Large</v>
      </c>
      <c r="S1067" s="5" t="str">
        <f t="shared" si="100"/>
        <v>Completed</v>
      </c>
      <c r="T1067" s="5" t="str">
        <f t="shared" si="101"/>
        <v>Yes</v>
      </c>
    </row>
    <row r="1068" spans="1:20"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c r="O1068">
        <f t="shared" si="96"/>
        <v>355.09</v>
      </c>
      <c r="P1068" t="str">
        <f t="shared" si="97"/>
        <v>Dec</v>
      </c>
      <c r="Q1068" t="str">
        <f t="shared" si="98"/>
        <v>Q4</v>
      </c>
      <c r="R1068" s="5" t="str">
        <f t="shared" si="99"/>
        <v>Medium</v>
      </c>
      <c r="S1068" s="5" t="str">
        <f t="shared" si="100"/>
        <v>Pending</v>
      </c>
      <c r="T1068" s="5" t="str">
        <f t="shared" si="101"/>
        <v>Yes</v>
      </c>
    </row>
    <row r="1069" spans="1:20" x14ac:dyDescent="0.35">
      <c r="A1069" t="s">
        <v>1081</v>
      </c>
      <c r="B1069" s="2">
        <v>45083</v>
      </c>
      <c r="C1069" t="s">
        <v>2273</v>
      </c>
      <c r="D1069" t="s">
        <v>2404</v>
      </c>
      <c r="E1069">
        <v>2</v>
      </c>
      <c r="F1069">
        <v>316.2</v>
      </c>
      <c r="G1069" t="s">
        <v>2475</v>
      </c>
      <c r="H1069" t="s">
        <v>3066</v>
      </c>
      <c r="I1069" t="s">
        <v>3072</v>
      </c>
      <c r="J1069" t="s">
        <v>4142</v>
      </c>
      <c r="K1069">
        <v>2</v>
      </c>
      <c r="L1069" t="s">
        <v>4329</v>
      </c>
      <c r="M1069" t="s">
        <v>4278</v>
      </c>
      <c r="N1069">
        <v>632.4</v>
      </c>
      <c r="O1069">
        <f t="shared" si="96"/>
        <v>632.4</v>
      </c>
      <c r="P1069" t="str">
        <f t="shared" si="97"/>
        <v>Jun</v>
      </c>
      <c r="Q1069" t="str">
        <f t="shared" si="98"/>
        <v>Q2</v>
      </c>
      <c r="R1069" s="5" t="str">
        <f t="shared" si="99"/>
        <v>Large</v>
      </c>
      <c r="S1069" s="5" t="str">
        <f t="shared" si="100"/>
        <v>Pending</v>
      </c>
      <c r="T1069" s="5" t="str">
        <f t="shared" si="101"/>
        <v>Yes</v>
      </c>
    </row>
    <row r="1070" spans="1:20"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c r="O1070">
        <f t="shared" si="96"/>
        <v>133.38999999999999</v>
      </c>
      <c r="P1070" t="str">
        <f t="shared" si="97"/>
        <v>Aug</v>
      </c>
      <c r="Q1070" t="str">
        <f t="shared" si="98"/>
        <v>Q3</v>
      </c>
      <c r="R1070" s="5" t="str">
        <f t="shared" si="99"/>
        <v>Medium</v>
      </c>
      <c r="S1070" s="5" t="str">
        <f t="shared" si="100"/>
        <v>Pending</v>
      </c>
      <c r="T1070" s="5" t="str">
        <f t="shared" si="101"/>
        <v>Yes</v>
      </c>
    </row>
    <row r="1071" spans="1:20" x14ac:dyDescent="0.35">
      <c r="A1071" t="s">
        <v>1083</v>
      </c>
      <c r="B1071" s="2">
        <v>44982</v>
      </c>
      <c r="C1071" t="s">
        <v>2275</v>
      </c>
      <c r="D1071" t="s">
        <v>2403</v>
      </c>
      <c r="E1071">
        <v>1</v>
      </c>
      <c r="F1071">
        <v>454.23</v>
      </c>
      <c r="G1071" t="s">
        <v>2617</v>
      </c>
      <c r="H1071" t="s">
        <v>3068</v>
      </c>
      <c r="I1071" t="s">
        <v>3072</v>
      </c>
      <c r="J1071" t="s">
        <v>4144</v>
      </c>
      <c r="K1071">
        <v>3</v>
      </c>
      <c r="L1071" t="s">
        <v>4329</v>
      </c>
      <c r="M1071" t="s">
        <v>4281</v>
      </c>
      <c r="N1071">
        <v>454.23</v>
      </c>
      <c r="O1071">
        <f t="shared" si="96"/>
        <v>454.23</v>
      </c>
      <c r="P1071" t="str">
        <f t="shared" si="97"/>
        <v>Feb</v>
      </c>
      <c r="Q1071" t="str">
        <f t="shared" si="98"/>
        <v>Q1</v>
      </c>
      <c r="R1071" s="5" t="str">
        <f t="shared" si="99"/>
        <v>Medium</v>
      </c>
      <c r="S1071" s="5" t="str">
        <f t="shared" si="100"/>
        <v>Pending</v>
      </c>
      <c r="T1071" s="5" t="str">
        <f t="shared" si="101"/>
        <v>Yes</v>
      </c>
    </row>
    <row r="1072" spans="1:20" x14ac:dyDescent="0.35">
      <c r="A1072" t="s">
        <v>1084</v>
      </c>
      <c r="B1072" s="2">
        <v>45541</v>
      </c>
      <c r="C1072" t="s">
        <v>2276</v>
      </c>
      <c r="D1072" t="s">
        <v>2409</v>
      </c>
      <c r="E1072">
        <v>4</v>
      </c>
      <c r="F1072">
        <v>491.29</v>
      </c>
      <c r="G1072" t="s">
        <v>2485</v>
      </c>
      <c r="H1072" t="s">
        <v>3065</v>
      </c>
      <c r="I1072" t="s">
        <v>3074</v>
      </c>
      <c r="J1072" t="s">
        <v>4145</v>
      </c>
      <c r="K1072">
        <v>6</v>
      </c>
      <c r="L1072" t="s">
        <v>4329</v>
      </c>
      <c r="M1072" t="s">
        <v>4280</v>
      </c>
      <c r="N1072">
        <v>1965.16</v>
      </c>
      <c r="O1072">
        <f t="shared" si="96"/>
        <v>1965.16</v>
      </c>
      <c r="P1072" t="str">
        <f t="shared" si="97"/>
        <v>Sep</v>
      </c>
      <c r="Q1072" t="str">
        <f t="shared" si="98"/>
        <v>Q3</v>
      </c>
      <c r="R1072" s="5" t="str">
        <f t="shared" si="99"/>
        <v>Large</v>
      </c>
      <c r="S1072" s="5" t="str">
        <f t="shared" si="100"/>
        <v>Pending</v>
      </c>
      <c r="T1072" s="5" t="str">
        <f t="shared" si="101"/>
        <v>Yes</v>
      </c>
    </row>
    <row r="1073" spans="1:20" x14ac:dyDescent="0.35">
      <c r="A1073" t="s">
        <v>1085</v>
      </c>
      <c r="B1073" s="2">
        <v>45832</v>
      </c>
      <c r="C1073" t="s">
        <v>2277</v>
      </c>
      <c r="D1073" t="s">
        <v>2404</v>
      </c>
      <c r="E1073">
        <v>2</v>
      </c>
      <c r="F1073">
        <v>255.14</v>
      </c>
      <c r="G1073" t="s">
        <v>2717</v>
      </c>
      <c r="H1073" t="s">
        <v>3069</v>
      </c>
      <c r="I1073" t="s">
        <v>3070</v>
      </c>
      <c r="J1073" t="s">
        <v>4146</v>
      </c>
      <c r="K1073">
        <v>2</v>
      </c>
      <c r="L1073" t="s">
        <v>4329</v>
      </c>
      <c r="M1073" t="s">
        <v>4282</v>
      </c>
      <c r="N1073">
        <v>510.28</v>
      </c>
      <c r="O1073">
        <f t="shared" si="96"/>
        <v>510.28</v>
      </c>
      <c r="P1073" t="str">
        <f t="shared" si="97"/>
        <v>Jun</v>
      </c>
      <c r="Q1073" t="str">
        <f t="shared" si="98"/>
        <v>Q2</v>
      </c>
      <c r="R1073" s="5" t="str">
        <f t="shared" si="99"/>
        <v>Large</v>
      </c>
      <c r="S1073" s="5" t="str">
        <f t="shared" si="100"/>
        <v>Pending</v>
      </c>
      <c r="T1073" s="5" t="str">
        <f t="shared" si="101"/>
        <v>Yes</v>
      </c>
    </row>
    <row r="1074" spans="1:20"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c r="O1074">
        <f t="shared" si="96"/>
        <v>392.61</v>
      </c>
      <c r="P1074" t="str">
        <f t="shared" si="97"/>
        <v>Feb</v>
      </c>
      <c r="Q1074" t="str">
        <f t="shared" si="98"/>
        <v>Q1</v>
      </c>
      <c r="R1074" s="5" t="str">
        <f t="shared" si="99"/>
        <v>Medium</v>
      </c>
      <c r="S1074" s="5" t="str">
        <f t="shared" si="100"/>
        <v>Pending</v>
      </c>
      <c r="T1074" s="5" t="str">
        <f t="shared" si="101"/>
        <v>Yes</v>
      </c>
    </row>
    <row r="1075" spans="1:20" x14ac:dyDescent="0.35">
      <c r="A1075" t="s">
        <v>1087</v>
      </c>
      <c r="B1075" s="2">
        <v>45576</v>
      </c>
      <c r="C1075" t="s">
        <v>2279</v>
      </c>
      <c r="D1075" t="s">
        <v>2405</v>
      </c>
      <c r="E1075">
        <v>4</v>
      </c>
      <c r="F1075">
        <v>362.06</v>
      </c>
      <c r="G1075" t="s">
        <v>2631</v>
      </c>
      <c r="H1075" t="s">
        <v>3065</v>
      </c>
      <c r="I1075" t="s">
        <v>3072</v>
      </c>
      <c r="J1075" t="s">
        <v>4148</v>
      </c>
      <c r="K1075">
        <v>4</v>
      </c>
      <c r="L1075" t="s">
        <v>4329</v>
      </c>
      <c r="M1075" t="s">
        <v>4281</v>
      </c>
      <c r="N1075">
        <v>1448.24</v>
      </c>
      <c r="O1075">
        <f t="shared" si="96"/>
        <v>1448.24</v>
      </c>
      <c r="P1075" t="str">
        <f t="shared" si="97"/>
        <v>Oct</v>
      </c>
      <c r="Q1075" t="str">
        <f t="shared" si="98"/>
        <v>Q4</v>
      </c>
      <c r="R1075" s="5" t="str">
        <f t="shared" si="99"/>
        <v>Large</v>
      </c>
      <c r="S1075" s="5" t="str">
        <f t="shared" si="100"/>
        <v>Pending</v>
      </c>
      <c r="T1075" s="5" t="str">
        <f t="shared" si="101"/>
        <v>Yes</v>
      </c>
    </row>
    <row r="1076" spans="1:20" x14ac:dyDescent="0.35">
      <c r="A1076" t="s">
        <v>1088</v>
      </c>
      <c r="B1076" s="2">
        <v>45422</v>
      </c>
      <c r="C1076" t="s">
        <v>2280</v>
      </c>
      <c r="D1076" t="s">
        <v>2404</v>
      </c>
      <c r="E1076">
        <v>1</v>
      </c>
      <c r="F1076">
        <v>222.73</v>
      </c>
      <c r="G1076" t="s">
        <v>3021</v>
      </c>
      <c r="H1076" t="s">
        <v>3066</v>
      </c>
      <c r="I1076" t="s">
        <v>3072</v>
      </c>
      <c r="J1076" t="s">
        <v>4149</v>
      </c>
      <c r="K1076">
        <v>4</v>
      </c>
      <c r="L1076" t="s">
        <v>4329</v>
      </c>
      <c r="M1076" t="s">
        <v>4282</v>
      </c>
      <c r="N1076">
        <v>222.73</v>
      </c>
      <c r="O1076">
        <f t="shared" si="96"/>
        <v>222.73</v>
      </c>
      <c r="P1076" t="str">
        <f t="shared" si="97"/>
        <v>May</v>
      </c>
      <c r="Q1076" t="str">
        <f t="shared" si="98"/>
        <v>Q2</v>
      </c>
      <c r="R1076" s="5" t="str">
        <f t="shared" si="99"/>
        <v>Medium</v>
      </c>
      <c r="S1076" s="5" t="str">
        <f t="shared" si="100"/>
        <v>Pending</v>
      </c>
      <c r="T1076" s="5" t="str">
        <f t="shared" si="101"/>
        <v>Yes</v>
      </c>
    </row>
    <row r="1077" spans="1:20"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c r="O1077">
        <f t="shared" si="96"/>
        <v>1105.26</v>
      </c>
      <c r="P1077" t="str">
        <f t="shared" si="97"/>
        <v>Aug</v>
      </c>
      <c r="Q1077" t="str">
        <f t="shared" si="98"/>
        <v>Q3</v>
      </c>
      <c r="R1077" s="5" t="str">
        <f t="shared" si="99"/>
        <v>Large</v>
      </c>
      <c r="S1077" s="5" t="str">
        <f t="shared" si="100"/>
        <v>Completed</v>
      </c>
      <c r="T1077" s="5" t="str">
        <f t="shared" si="101"/>
        <v>Yes</v>
      </c>
    </row>
    <row r="1078" spans="1:20" x14ac:dyDescent="0.35">
      <c r="A1078" t="s">
        <v>1090</v>
      </c>
      <c r="B1078" s="2">
        <v>45054</v>
      </c>
      <c r="C1078" t="s">
        <v>2282</v>
      </c>
      <c r="D1078" t="s">
        <v>2408</v>
      </c>
      <c r="E1078">
        <v>4</v>
      </c>
      <c r="F1078">
        <v>686.61</v>
      </c>
      <c r="G1078" t="s">
        <v>3005</v>
      </c>
      <c r="H1078" t="s">
        <v>3069</v>
      </c>
      <c r="I1078" t="s">
        <v>3070</v>
      </c>
      <c r="J1078" t="s">
        <v>4151</v>
      </c>
      <c r="K1078">
        <v>6</v>
      </c>
      <c r="L1078" t="s">
        <v>4329</v>
      </c>
      <c r="M1078" t="s">
        <v>4279</v>
      </c>
      <c r="N1078">
        <v>2746.44</v>
      </c>
      <c r="O1078">
        <f t="shared" si="96"/>
        <v>2746.44</v>
      </c>
      <c r="P1078" t="str">
        <f t="shared" si="97"/>
        <v>May</v>
      </c>
      <c r="Q1078" t="str">
        <f t="shared" si="98"/>
        <v>Q2</v>
      </c>
      <c r="R1078" s="5" t="str">
        <f t="shared" si="99"/>
        <v>Large</v>
      </c>
      <c r="S1078" s="5" t="str">
        <f t="shared" si="100"/>
        <v>Pending</v>
      </c>
      <c r="T1078" s="5" t="str">
        <f t="shared" si="101"/>
        <v>Yes</v>
      </c>
    </row>
    <row r="1079" spans="1:20"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c r="O1079">
        <f t="shared" si="96"/>
        <v>915.48</v>
      </c>
      <c r="P1079" t="str">
        <f t="shared" si="97"/>
        <v>Mar</v>
      </c>
      <c r="Q1079" t="str">
        <f t="shared" si="98"/>
        <v>Q1</v>
      </c>
      <c r="R1079" s="5" t="str">
        <f t="shared" si="99"/>
        <v>Large</v>
      </c>
      <c r="S1079" s="5" t="str">
        <f t="shared" si="100"/>
        <v>Pending</v>
      </c>
      <c r="T1079" s="5" t="str">
        <f t="shared" si="101"/>
        <v>Yes</v>
      </c>
    </row>
    <row r="1080" spans="1:20"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c r="O1080">
        <f t="shared" si="96"/>
        <v>41.09</v>
      </c>
      <c r="P1080" t="str">
        <f t="shared" si="97"/>
        <v>Mar</v>
      </c>
      <c r="Q1080" t="str">
        <f t="shared" si="98"/>
        <v>Q1</v>
      </c>
      <c r="R1080" s="5" t="str">
        <f t="shared" si="99"/>
        <v>Small</v>
      </c>
      <c r="S1080" s="5" t="str">
        <f t="shared" si="100"/>
        <v>Pending</v>
      </c>
      <c r="T1080" s="5" t="str">
        <f t="shared" si="101"/>
        <v>Yes</v>
      </c>
    </row>
    <row r="1081" spans="1:20" x14ac:dyDescent="0.35">
      <c r="A1081" t="s">
        <v>1093</v>
      </c>
      <c r="B1081" s="2">
        <v>45463</v>
      </c>
      <c r="C1081" t="s">
        <v>2285</v>
      </c>
      <c r="D1081" t="s">
        <v>2404</v>
      </c>
      <c r="E1081">
        <v>5</v>
      </c>
      <c r="F1081">
        <v>634</v>
      </c>
      <c r="G1081" t="s">
        <v>2980</v>
      </c>
      <c r="H1081" t="s">
        <v>3068</v>
      </c>
      <c r="I1081" t="s">
        <v>3073</v>
      </c>
      <c r="J1081" t="s">
        <v>4154</v>
      </c>
      <c r="K1081">
        <v>8</v>
      </c>
      <c r="L1081" t="s">
        <v>4329</v>
      </c>
      <c r="M1081" t="s">
        <v>4280</v>
      </c>
      <c r="N1081">
        <v>3170</v>
      </c>
      <c r="O1081">
        <f t="shared" si="96"/>
        <v>3170</v>
      </c>
      <c r="P1081" t="str">
        <f t="shared" si="97"/>
        <v>Jun</v>
      </c>
      <c r="Q1081" t="str">
        <f t="shared" si="98"/>
        <v>Q2</v>
      </c>
      <c r="R1081" s="5" t="str">
        <f t="shared" si="99"/>
        <v>Large</v>
      </c>
      <c r="S1081" s="5" t="str">
        <f t="shared" si="100"/>
        <v>Completed</v>
      </c>
      <c r="T1081" s="5" t="str">
        <f t="shared" si="101"/>
        <v>Yes</v>
      </c>
    </row>
    <row r="1082" spans="1:20" x14ac:dyDescent="0.35">
      <c r="A1082" t="s">
        <v>1094</v>
      </c>
      <c r="B1082" s="2">
        <v>44946</v>
      </c>
      <c r="C1082" t="s">
        <v>2286</v>
      </c>
      <c r="D1082" t="s">
        <v>2408</v>
      </c>
      <c r="E1082">
        <v>5</v>
      </c>
      <c r="F1082">
        <v>464.74</v>
      </c>
      <c r="G1082" t="s">
        <v>3022</v>
      </c>
      <c r="H1082" t="s">
        <v>3068</v>
      </c>
      <c r="I1082" t="s">
        <v>3073</v>
      </c>
      <c r="J1082" t="s">
        <v>4155</v>
      </c>
      <c r="K1082">
        <v>7</v>
      </c>
      <c r="L1082" t="s">
        <v>4329</v>
      </c>
      <c r="M1082" t="s">
        <v>4279</v>
      </c>
      <c r="N1082">
        <v>2323.6999999999998</v>
      </c>
      <c r="O1082">
        <f t="shared" si="96"/>
        <v>2323.6999999999998</v>
      </c>
      <c r="P1082" t="str">
        <f t="shared" si="97"/>
        <v>Jan</v>
      </c>
      <c r="Q1082" t="str">
        <f t="shared" si="98"/>
        <v>Q1</v>
      </c>
      <c r="R1082" s="5" t="str">
        <f t="shared" si="99"/>
        <v>Large</v>
      </c>
      <c r="S1082" s="5" t="str">
        <f t="shared" si="100"/>
        <v>Completed</v>
      </c>
      <c r="T1082" s="5" t="str">
        <f t="shared" si="101"/>
        <v>Yes</v>
      </c>
    </row>
    <row r="1083" spans="1:20"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c r="O1083">
        <f t="shared" si="96"/>
        <v>1702.4</v>
      </c>
      <c r="P1083" t="str">
        <f t="shared" si="97"/>
        <v>Apr</v>
      </c>
      <c r="Q1083" t="str">
        <f t="shared" si="98"/>
        <v>Q2</v>
      </c>
      <c r="R1083" s="5" t="str">
        <f t="shared" si="99"/>
        <v>Large</v>
      </c>
      <c r="S1083" s="5" t="str">
        <f t="shared" si="100"/>
        <v>Pending</v>
      </c>
      <c r="T1083" s="5" t="str">
        <f t="shared" si="101"/>
        <v>Yes</v>
      </c>
    </row>
    <row r="1084" spans="1:20"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c r="O1084">
        <f t="shared" si="96"/>
        <v>1719.66</v>
      </c>
      <c r="P1084" t="str">
        <f t="shared" si="97"/>
        <v>Oct</v>
      </c>
      <c r="Q1084" t="str">
        <f t="shared" si="98"/>
        <v>Q4</v>
      </c>
      <c r="R1084" s="5" t="str">
        <f t="shared" si="99"/>
        <v>Large</v>
      </c>
      <c r="S1084" s="5" t="str">
        <f t="shared" si="100"/>
        <v>Pending</v>
      </c>
      <c r="T1084" s="5" t="str">
        <f t="shared" si="101"/>
        <v>Yes</v>
      </c>
    </row>
    <row r="1085" spans="1:20"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c r="O1085">
        <f t="shared" si="96"/>
        <v>123.28</v>
      </c>
      <c r="P1085" t="str">
        <f t="shared" si="97"/>
        <v>Jul</v>
      </c>
      <c r="Q1085" t="str">
        <f t="shared" si="98"/>
        <v>Q3</v>
      </c>
      <c r="R1085" s="5" t="str">
        <f t="shared" si="99"/>
        <v>Medium</v>
      </c>
      <c r="S1085" s="5" t="str">
        <f t="shared" si="100"/>
        <v>Completed</v>
      </c>
      <c r="T1085" s="5" t="str">
        <f t="shared" si="101"/>
        <v>Yes</v>
      </c>
    </row>
    <row r="1086" spans="1:20"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c r="O1086">
        <f t="shared" si="96"/>
        <v>70.819999999999993</v>
      </c>
      <c r="P1086" t="str">
        <f t="shared" si="97"/>
        <v>Jan</v>
      </c>
      <c r="Q1086" t="str">
        <f t="shared" si="98"/>
        <v>Q1</v>
      </c>
      <c r="R1086" s="5" t="str">
        <f t="shared" si="99"/>
        <v>Small</v>
      </c>
      <c r="S1086" s="5" t="str">
        <f t="shared" si="100"/>
        <v>Pending</v>
      </c>
      <c r="T1086" s="5" t="str">
        <f t="shared" si="101"/>
        <v>Yes</v>
      </c>
    </row>
    <row r="1087" spans="1:20"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c r="O1087">
        <f t="shared" si="96"/>
        <v>1293.3800000000001</v>
      </c>
      <c r="P1087" t="str">
        <f t="shared" si="97"/>
        <v>May</v>
      </c>
      <c r="Q1087" t="str">
        <f t="shared" si="98"/>
        <v>Q2</v>
      </c>
      <c r="R1087" s="5" t="str">
        <f t="shared" si="99"/>
        <v>Large</v>
      </c>
      <c r="S1087" s="5" t="str">
        <f t="shared" si="100"/>
        <v>Pending</v>
      </c>
      <c r="T1087" s="5" t="str">
        <f t="shared" si="101"/>
        <v>Yes</v>
      </c>
    </row>
    <row r="1088" spans="1:20"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c r="O1088">
        <f t="shared" si="96"/>
        <v>1026.8399999999999</v>
      </c>
      <c r="P1088" t="str">
        <f t="shared" si="97"/>
        <v>Dec</v>
      </c>
      <c r="Q1088" t="str">
        <f t="shared" si="98"/>
        <v>Q4</v>
      </c>
      <c r="R1088" s="5" t="str">
        <f t="shared" si="99"/>
        <v>Large</v>
      </c>
      <c r="S1088" s="5" t="str">
        <f t="shared" si="100"/>
        <v>Pending</v>
      </c>
      <c r="T1088" s="5" t="str">
        <f t="shared" si="101"/>
        <v>Yes</v>
      </c>
    </row>
    <row r="1089" spans="1:20"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c r="O1089">
        <f t="shared" si="96"/>
        <v>2772.28</v>
      </c>
      <c r="P1089" t="str">
        <f t="shared" si="97"/>
        <v>Mar</v>
      </c>
      <c r="Q1089" t="str">
        <f t="shared" si="98"/>
        <v>Q1</v>
      </c>
      <c r="R1089" s="5" t="str">
        <f t="shared" si="99"/>
        <v>Large</v>
      </c>
      <c r="S1089" s="5" t="str">
        <f t="shared" si="100"/>
        <v>Pending</v>
      </c>
      <c r="T1089" s="5" t="str">
        <f t="shared" si="101"/>
        <v>Yes</v>
      </c>
    </row>
    <row r="1090" spans="1:20"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c r="O1090">
        <f t="shared" ref="O1090:O1153" si="102">E1090*F1090</f>
        <v>1474.29</v>
      </c>
      <c r="P1090" t="str">
        <f t="shared" ref="P1090:P1153" si="103">TEXT(B1090, "mmm")</f>
        <v>Nov</v>
      </c>
      <c r="Q1090" t="str">
        <f t="shared" ref="Q1090:Q1153" si="104">"Q"&amp;ROUNDUP(MONTH(B1090)/3,0)</f>
        <v>Q4</v>
      </c>
      <c r="R1090" s="5" t="str">
        <f t="shared" ref="R1090:R1153" si="105">IF(N1090&lt;100,"Small", IF(N1090&lt;500, "Medium", "Large"))</f>
        <v>Large</v>
      </c>
      <c r="S1090" s="5" t="str">
        <f t="shared" ref="S1090:S1153" si="106">IF(I1090="Delivered","Completed","Pending")</f>
        <v>Pending</v>
      </c>
      <c r="T1090" s="5" t="str">
        <f t="shared" ref="T1090:T1153" si="107">IF(L1090="","No", "Yes")</f>
        <v>Yes</v>
      </c>
    </row>
    <row r="1091" spans="1:20" x14ac:dyDescent="0.35">
      <c r="A1091" t="s">
        <v>1103</v>
      </c>
      <c r="B1091" s="2">
        <v>45731</v>
      </c>
      <c r="C1091" t="s">
        <v>2295</v>
      </c>
      <c r="D1091" t="s">
        <v>2405</v>
      </c>
      <c r="E1091">
        <v>2</v>
      </c>
      <c r="F1091">
        <v>599.74</v>
      </c>
      <c r="G1091" t="s">
        <v>2473</v>
      </c>
      <c r="H1091" t="s">
        <v>3068</v>
      </c>
      <c r="I1091" t="s">
        <v>3070</v>
      </c>
      <c r="J1091" t="s">
        <v>4164</v>
      </c>
      <c r="K1091">
        <v>2</v>
      </c>
      <c r="L1091" t="s">
        <v>4329</v>
      </c>
      <c r="M1091" t="s">
        <v>4278</v>
      </c>
      <c r="N1091">
        <v>1199.48</v>
      </c>
      <c r="O1091">
        <f t="shared" si="102"/>
        <v>1199.48</v>
      </c>
      <c r="P1091" t="str">
        <f t="shared" si="103"/>
        <v>Mar</v>
      </c>
      <c r="Q1091" t="str">
        <f t="shared" si="104"/>
        <v>Q1</v>
      </c>
      <c r="R1091" s="5" t="str">
        <f t="shared" si="105"/>
        <v>Large</v>
      </c>
      <c r="S1091" s="5" t="str">
        <f t="shared" si="106"/>
        <v>Pending</v>
      </c>
      <c r="T1091" s="5" t="str">
        <f t="shared" si="107"/>
        <v>Yes</v>
      </c>
    </row>
    <row r="1092" spans="1:20" x14ac:dyDescent="0.35">
      <c r="A1092" t="s">
        <v>1104</v>
      </c>
      <c r="B1092" s="2">
        <v>44982</v>
      </c>
      <c r="C1092" t="s">
        <v>2296</v>
      </c>
      <c r="D1092" t="s">
        <v>2403</v>
      </c>
      <c r="E1092">
        <v>2</v>
      </c>
      <c r="F1092">
        <v>650.25</v>
      </c>
      <c r="G1092" t="s">
        <v>2441</v>
      </c>
      <c r="H1092" t="s">
        <v>3068</v>
      </c>
      <c r="I1092" t="s">
        <v>3072</v>
      </c>
      <c r="J1092" t="s">
        <v>4165</v>
      </c>
      <c r="K1092">
        <v>6</v>
      </c>
      <c r="L1092" t="s">
        <v>4329</v>
      </c>
      <c r="M1092" t="s">
        <v>4278</v>
      </c>
      <c r="N1092">
        <v>1300.5</v>
      </c>
      <c r="O1092">
        <f t="shared" si="102"/>
        <v>1300.5</v>
      </c>
      <c r="P1092" t="str">
        <f t="shared" si="103"/>
        <v>Feb</v>
      </c>
      <c r="Q1092" t="str">
        <f t="shared" si="104"/>
        <v>Q1</v>
      </c>
      <c r="R1092" s="5" t="str">
        <f t="shared" si="105"/>
        <v>Large</v>
      </c>
      <c r="S1092" s="5" t="str">
        <f t="shared" si="106"/>
        <v>Pending</v>
      </c>
      <c r="T1092" s="5" t="str">
        <f t="shared" si="107"/>
        <v>Yes</v>
      </c>
    </row>
    <row r="1093" spans="1:20" x14ac:dyDescent="0.35">
      <c r="A1093" t="s">
        <v>1105</v>
      </c>
      <c r="B1093" s="2">
        <v>45573</v>
      </c>
      <c r="C1093" t="s">
        <v>2297</v>
      </c>
      <c r="D1093" t="s">
        <v>2408</v>
      </c>
      <c r="E1093">
        <v>3</v>
      </c>
      <c r="F1093">
        <v>209.48</v>
      </c>
      <c r="G1093" t="s">
        <v>2739</v>
      </c>
      <c r="H1093" t="s">
        <v>3065</v>
      </c>
      <c r="I1093" t="s">
        <v>3074</v>
      </c>
      <c r="J1093" t="s">
        <v>4166</v>
      </c>
      <c r="K1093">
        <v>4</v>
      </c>
      <c r="L1093" t="s">
        <v>4329</v>
      </c>
      <c r="M1093" t="s">
        <v>4280</v>
      </c>
      <c r="N1093">
        <v>628.43999999999994</v>
      </c>
      <c r="O1093">
        <f t="shared" si="102"/>
        <v>628.43999999999994</v>
      </c>
      <c r="P1093" t="str">
        <f t="shared" si="103"/>
        <v>Oct</v>
      </c>
      <c r="Q1093" t="str">
        <f t="shared" si="104"/>
        <v>Q4</v>
      </c>
      <c r="R1093" s="5" t="str">
        <f t="shared" si="105"/>
        <v>Large</v>
      </c>
      <c r="S1093" s="5" t="str">
        <f t="shared" si="106"/>
        <v>Pending</v>
      </c>
      <c r="T1093" s="5" t="str">
        <f t="shared" si="107"/>
        <v>Yes</v>
      </c>
    </row>
    <row r="1094" spans="1:20"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c r="O1094">
        <f t="shared" si="102"/>
        <v>1046</v>
      </c>
      <c r="P1094" t="str">
        <f t="shared" si="103"/>
        <v>Aug</v>
      </c>
      <c r="Q1094" t="str">
        <f t="shared" si="104"/>
        <v>Q3</v>
      </c>
      <c r="R1094" s="5" t="str">
        <f t="shared" si="105"/>
        <v>Large</v>
      </c>
      <c r="S1094" s="5" t="str">
        <f t="shared" si="106"/>
        <v>Completed</v>
      </c>
      <c r="T1094" s="5" t="str">
        <f t="shared" si="107"/>
        <v>Yes</v>
      </c>
    </row>
    <row r="1095" spans="1:20"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c r="O1095">
        <f t="shared" si="102"/>
        <v>789.44</v>
      </c>
      <c r="P1095" t="str">
        <f t="shared" si="103"/>
        <v>Jun</v>
      </c>
      <c r="Q1095" t="str">
        <f t="shared" si="104"/>
        <v>Q2</v>
      </c>
      <c r="R1095" s="5" t="str">
        <f t="shared" si="105"/>
        <v>Large</v>
      </c>
      <c r="S1095" s="5" t="str">
        <f t="shared" si="106"/>
        <v>Pending</v>
      </c>
      <c r="T1095" s="5" t="str">
        <f t="shared" si="107"/>
        <v>Yes</v>
      </c>
    </row>
    <row r="1096" spans="1:20"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c r="O1096">
        <f t="shared" si="102"/>
        <v>2595.64</v>
      </c>
      <c r="P1096" t="str">
        <f t="shared" si="103"/>
        <v>Jun</v>
      </c>
      <c r="Q1096" t="str">
        <f t="shared" si="104"/>
        <v>Q2</v>
      </c>
      <c r="R1096" s="5" t="str">
        <f t="shared" si="105"/>
        <v>Large</v>
      </c>
      <c r="S1096" s="5" t="str">
        <f t="shared" si="106"/>
        <v>Pending</v>
      </c>
      <c r="T1096" s="5" t="str">
        <f t="shared" si="107"/>
        <v>Yes</v>
      </c>
    </row>
    <row r="1097" spans="1:20"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c r="O1097">
        <f t="shared" si="102"/>
        <v>883.08</v>
      </c>
      <c r="P1097" t="str">
        <f t="shared" si="103"/>
        <v>Apr</v>
      </c>
      <c r="Q1097" t="str">
        <f t="shared" si="104"/>
        <v>Q2</v>
      </c>
      <c r="R1097" s="5" t="str">
        <f t="shared" si="105"/>
        <v>Large</v>
      </c>
      <c r="S1097" s="5" t="str">
        <f t="shared" si="106"/>
        <v>Completed</v>
      </c>
      <c r="T1097" s="5" t="str">
        <f t="shared" si="107"/>
        <v>Yes</v>
      </c>
    </row>
    <row r="1098" spans="1:20" x14ac:dyDescent="0.35">
      <c r="A1098" t="s">
        <v>1110</v>
      </c>
      <c r="B1098" s="2">
        <v>45780</v>
      </c>
      <c r="C1098" t="s">
        <v>2302</v>
      </c>
      <c r="D1098" t="s">
        <v>2405</v>
      </c>
      <c r="E1098">
        <v>2</v>
      </c>
      <c r="F1098">
        <v>464.92</v>
      </c>
      <c r="G1098" t="s">
        <v>3029</v>
      </c>
      <c r="H1098" t="s">
        <v>3065</v>
      </c>
      <c r="I1098" t="s">
        <v>3072</v>
      </c>
      <c r="J1098" t="s">
        <v>4171</v>
      </c>
      <c r="K1098">
        <v>2</v>
      </c>
      <c r="L1098" t="s">
        <v>4329</v>
      </c>
      <c r="M1098" t="s">
        <v>4281</v>
      </c>
      <c r="N1098">
        <v>929.84</v>
      </c>
      <c r="O1098">
        <f t="shared" si="102"/>
        <v>929.84</v>
      </c>
      <c r="P1098" t="str">
        <f t="shared" si="103"/>
        <v>May</v>
      </c>
      <c r="Q1098" t="str">
        <f t="shared" si="104"/>
        <v>Q2</v>
      </c>
      <c r="R1098" s="5" t="str">
        <f t="shared" si="105"/>
        <v>Large</v>
      </c>
      <c r="S1098" s="5" t="str">
        <f t="shared" si="106"/>
        <v>Pending</v>
      </c>
      <c r="T1098" s="5" t="str">
        <f t="shared" si="107"/>
        <v>Yes</v>
      </c>
    </row>
    <row r="1099" spans="1:20"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c r="O1099">
        <f t="shared" si="102"/>
        <v>2532.25</v>
      </c>
      <c r="P1099" t="str">
        <f t="shared" si="103"/>
        <v>Dec</v>
      </c>
      <c r="Q1099" t="str">
        <f t="shared" si="104"/>
        <v>Q4</v>
      </c>
      <c r="R1099" s="5" t="str">
        <f t="shared" si="105"/>
        <v>Large</v>
      </c>
      <c r="S1099" s="5" t="str">
        <f t="shared" si="106"/>
        <v>Pending</v>
      </c>
      <c r="T1099" s="5" t="str">
        <f t="shared" si="107"/>
        <v>Yes</v>
      </c>
    </row>
    <row r="1100" spans="1:20" x14ac:dyDescent="0.35">
      <c r="A1100" t="s">
        <v>1112</v>
      </c>
      <c r="B1100" s="2">
        <v>45094</v>
      </c>
      <c r="C1100" t="s">
        <v>2304</v>
      </c>
      <c r="D1100" t="s">
        <v>2403</v>
      </c>
      <c r="E1100">
        <v>4</v>
      </c>
      <c r="F1100">
        <v>255.86</v>
      </c>
      <c r="G1100" t="s">
        <v>3031</v>
      </c>
      <c r="H1100" t="s">
        <v>3067</v>
      </c>
      <c r="I1100" t="s">
        <v>3073</v>
      </c>
      <c r="J1100" t="s">
        <v>4173</v>
      </c>
      <c r="K1100">
        <v>7</v>
      </c>
      <c r="L1100" t="s">
        <v>4329</v>
      </c>
      <c r="M1100" t="s">
        <v>4280</v>
      </c>
      <c r="N1100">
        <v>1023.44</v>
      </c>
      <c r="O1100">
        <f t="shared" si="102"/>
        <v>1023.44</v>
      </c>
      <c r="P1100" t="str">
        <f t="shared" si="103"/>
        <v>Jun</v>
      </c>
      <c r="Q1100" t="str">
        <f t="shared" si="104"/>
        <v>Q2</v>
      </c>
      <c r="R1100" s="5" t="str">
        <f t="shared" si="105"/>
        <v>Large</v>
      </c>
      <c r="S1100" s="5" t="str">
        <f t="shared" si="106"/>
        <v>Completed</v>
      </c>
      <c r="T1100" s="5" t="str">
        <f t="shared" si="107"/>
        <v>Yes</v>
      </c>
    </row>
    <row r="1101" spans="1:20"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c r="O1101">
        <f t="shared" si="102"/>
        <v>250.46</v>
      </c>
      <c r="P1101" t="str">
        <f t="shared" si="103"/>
        <v>Sep</v>
      </c>
      <c r="Q1101" t="str">
        <f t="shared" si="104"/>
        <v>Q3</v>
      </c>
      <c r="R1101" s="5" t="str">
        <f t="shared" si="105"/>
        <v>Medium</v>
      </c>
      <c r="S1101" s="5" t="str">
        <f t="shared" si="106"/>
        <v>Pending</v>
      </c>
      <c r="T1101" s="5" t="str">
        <f t="shared" si="107"/>
        <v>Yes</v>
      </c>
    </row>
    <row r="1102" spans="1:20"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c r="O1102">
        <f t="shared" si="102"/>
        <v>190.55</v>
      </c>
      <c r="P1102" t="str">
        <f t="shared" si="103"/>
        <v>Aug</v>
      </c>
      <c r="Q1102" t="str">
        <f t="shared" si="104"/>
        <v>Q3</v>
      </c>
      <c r="R1102" s="5" t="str">
        <f t="shared" si="105"/>
        <v>Medium</v>
      </c>
      <c r="S1102" s="5" t="str">
        <f t="shared" si="106"/>
        <v>Pending</v>
      </c>
      <c r="T1102" s="5" t="str">
        <f t="shared" si="107"/>
        <v>Yes</v>
      </c>
    </row>
    <row r="1103" spans="1:20"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c r="O1103">
        <f t="shared" si="102"/>
        <v>485.90999999999997</v>
      </c>
      <c r="P1103" t="str">
        <f t="shared" si="103"/>
        <v>Jun</v>
      </c>
      <c r="Q1103" t="str">
        <f t="shared" si="104"/>
        <v>Q2</v>
      </c>
      <c r="R1103" s="5" t="str">
        <f t="shared" si="105"/>
        <v>Medium</v>
      </c>
      <c r="S1103" s="5" t="str">
        <f t="shared" si="106"/>
        <v>Pending</v>
      </c>
      <c r="T1103" s="5" t="str">
        <f t="shared" si="107"/>
        <v>Yes</v>
      </c>
    </row>
    <row r="1104" spans="1:20" x14ac:dyDescent="0.35">
      <c r="A1104" t="s">
        <v>1116</v>
      </c>
      <c r="B1104" s="2">
        <v>45446</v>
      </c>
      <c r="C1104" t="s">
        <v>1228</v>
      </c>
      <c r="D1104" t="s">
        <v>2406</v>
      </c>
      <c r="E1104">
        <v>4</v>
      </c>
      <c r="F1104">
        <v>347.17</v>
      </c>
      <c r="G1104" t="s">
        <v>2904</v>
      </c>
      <c r="H1104" t="s">
        <v>3065</v>
      </c>
      <c r="I1104" t="s">
        <v>3070</v>
      </c>
      <c r="J1104" t="s">
        <v>4177</v>
      </c>
      <c r="K1104">
        <v>8</v>
      </c>
      <c r="L1104" t="s">
        <v>4329</v>
      </c>
      <c r="M1104" t="s">
        <v>4278</v>
      </c>
      <c r="N1104">
        <v>1388.68</v>
      </c>
      <c r="O1104">
        <f t="shared" si="102"/>
        <v>1388.68</v>
      </c>
      <c r="P1104" t="str">
        <f t="shared" si="103"/>
        <v>Jun</v>
      </c>
      <c r="Q1104" t="str">
        <f t="shared" si="104"/>
        <v>Q2</v>
      </c>
      <c r="R1104" s="5" t="str">
        <f t="shared" si="105"/>
        <v>Large</v>
      </c>
      <c r="S1104" s="5" t="str">
        <f t="shared" si="106"/>
        <v>Pending</v>
      </c>
      <c r="T1104" s="5" t="str">
        <f t="shared" si="107"/>
        <v>Yes</v>
      </c>
    </row>
    <row r="1105" spans="1:20" x14ac:dyDescent="0.35">
      <c r="A1105" t="s">
        <v>1117</v>
      </c>
      <c r="B1105" s="2">
        <v>45040</v>
      </c>
      <c r="C1105" t="s">
        <v>2308</v>
      </c>
      <c r="D1105" t="s">
        <v>2408</v>
      </c>
      <c r="E1105">
        <v>4</v>
      </c>
      <c r="F1105">
        <v>276.32</v>
      </c>
      <c r="G1105" t="s">
        <v>2477</v>
      </c>
      <c r="H1105" t="s">
        <v>3066</v>
      </c>
      <c r="I1105" t="s">
        <v>3073</v>
      </c>
      <c r="J1105" t="s">
        <v>4178</v>
      </c>
      <c r="K1105">
        <v>5</v>
      </c>
      <c r="L1105" t="s">
        <v>4329</v>
      </c>
      <c r="M1105" t="s">
        <v>4282</v>
      </c>
      <c r="N1105">
        <v>1105.28</v>
      </c>
      <c r="O1105">
        <f t="shared" si="102"/>
        <v>1105.28</v>
      </c>
      <c r="P1105" t="str">
        <f t="shared" si="103"/>
        <v>Apr</v>
      </c>
      <c r="Q1105" t="str">
        <f t="shared" si="104"/>
        <v>Q2</v>
      </c>
      <c r="R1105" s="5" t="str">
        <f t="shared" si="105"/>
        <v>Large</v>
      </c>
      <c r="S1105" s="5" t="str">
        <f t="shared" si="106"/>
        <v>Completed</v>
      </c>
      <c r="T1105" s="5" t="str">
        <f t="shared" si="107"/>
        <v>Yes</v>
      </c>
    </row>
    <row r="1106" spans="1:20" x14ac:dyDescent="0.35">
      <c r="A1106" t="s">
        <v>1118</v>
      </c>
      <c r="B1106" s="2">
        <v>45498</v>
      </c>
      <c r="C1106" t="s">
        <v>2309</v>
      </c>
      <c r="D1106" t="s">
        <v>2405</v>
      </c>
      <c r="E1106">
        <v>4</v>
      </c>
      <c r="F1106">
        <v>314.76</v>
      </c>
      <c r="G1106" t="s">
        <v>3033</v>
      </c>
      <c r="H1106" t="s">
        <v>3066</v>
      </c>
      <c r="I1106" t="s">
        <v>3070</v>
      </c>
      <c r="J1106" t="s">
        <v>4179</v>
      </c>
      <c r="K1106">
        <v>8</v>
      </c>
      <c r="L1106" t="s">
        <v>4329</v>
      </c>
      <c r="M1106" t="s">
        <v>4278</v>
      </c>
      <c r="N1106">
        <v>1259.04</v>
      </c>
      <c r="O1106">
        <f t="shared" si="102"/>
        <v>1259.04</v>
      </c>
      <c r="P1106" t="str">
        <f t="shared" si="103"/>
        <v>Jul</v>
      </c>
      <c r="Q1106" t="str">
        <f t="shared" si="104"/>
        <v>Q3</v>
      </c>
      <c r="R1106" s="5" t="str">
        <f t="shared" si="105"/>
        <v>Large</v>
      </c>
      <c r="S1106" s="5" t="str">
        <f t="shared" si="106"/>
        <v>Pending</v>
      </c>
      <c r="T1106" s="5" t="str">
        <f t="shared" si="107"/>
        <v>Yes</v>
      </c>
    </row>
    <row r="1107" spans="1:20"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c r="O1107">
        <f t="shared" si="102"/>
        <v>1427.07</v>
      </c>
      <c r="P1107" t="str">
        <f t="shared" si="103"/>
        <v>Jan</v>
      </c>
      <c r="Q1107" t="str">
        <f t="shared" si="104"/>
        <v>Q1</v>
      </c>
      <c r="R1107" s="5" t="str">
        <f t="shared" si="105"/>
        <v>Large</v>
      </c>
      <c r="S1107" s="5" t="str">
        <f t="shared" si="106"/>
        <v>Pending</v>
      </c>
      <c r="T1107" s="5" t="str">
        <f t="shared" si="107"/>
        <v>Yes</v>
      </c>
    </row>
    <row r="1108" spans="1:20"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c r="O1108">
        <f t="shared" si="102"/>
        <v>372.8</v>
      </c>
      <c r="P1108" t="str">
        <f t="shared" si="103"/>
        <v>Mar</v>
      </c>
      <c r="Q1108" t="str">
        <f t="shared" si="104"/>
        <v>Q1</v>
      </c>
      <c r="R1108" s="5" t="str">
        <f t="shared" si="105"/>
        <v>Medium</v>
      </c>
      <c r="S1108" s="5" t="str">
        <f t="shared" si="106"/>
        <v>Pending</v>
      </c>
      <c r="T1108" s="5" t="str">
        <f t="shared" si="107"/>
        <v>Yes</v>
      </c>
    </row>
    <row r="1109" spans="1:20"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c r="O1109">
        <f t="shared" si="102"/>
        <v>126.42</v>
      </c>
      <c r="P1109" t="str">
        <f t="shared" si="103"/>
        <v>Jun</v>
      </c>
      <c r="Q1109" t="str">
        <f t="shared" si="104"/>
        <v>Q2</v>
      </c>
      <c r="R1109" s="5" t="str">
        <f t="shared" si="105"/>
        <v>Medium</v>
      </c>
      <c r="S1109" s="5" t="str">
        <f t="shared" si="106"/>
        <v>Pending</v>
      </c>
      <c r="T1109" s="5" t="str">
        <f t="shared" si="107"/>
        <v>Yes</v>
      </c>
    </row>
    <row r="1110" spans="1:20"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c r="O1110">
        <f t="shared" si="102"/>
        <v>634.94000000000005</v>
      </c>
      <c r="P1110" t="str">
        <f t="shared" si="103"/>
        <v>Mar</v>
      </c>
      <c r="Q1110" t="str">
        <f t="shared" si="104"/>
        <v>Q1</v>
      </c>
      <c r="R1110" s="5" t="str">
        <f t="shared" si="105"/>
        <v>Large</v>
      </c>
      <c r="S1110" s="5" t="str">
        <f t="shared" si="106"/>
        <v>Pending</v>
      </c>
      <c r="T1110" s="5" t="str">
        <f t="shared" si="107"/>
        <v>Yes</v>
      </c>
    </row>
    <row r="1111" spans="1:20"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c r="O1111">
        <f t="shared" si="102"/>
        <v>309.88</v>
      </c>
      <c r="P1111" t="str">
        <f t="shared" si="103"/>
        <v>Apr</v>
      </c>
      <c r="Q1111" t="str">
        <f t="shared" si="104"/>
        <v>Q2</v>
      </c>
      <c r="R1111" s="5" t="str">
        <f t="shared" si="105"/>
        <v>Medium</v>
      </c>
      <c r="S1111" s="5" t="str">
        <f t="shared" si="106"/>
        <v>Pending</v>
      </c>
      <c r="T1111" s="5" t="str">
        <f t="shared" si="107"/>
        <v>Yes</v>
      </c>
    </row>
    <row r="1112" spans="1:20"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c r="O1112">
        <f t="shared" si="102"/>
        <v>252.93</v>
      </c>
      <c r="P1112" t="str">
        <f t="shared" si="103"/>
        <v>Feb</v>
      </c>
      <c r="Q1112" t="str">
        <f t="shared" si="104"/>
        <v>Q1</v>
      </c>
      <c r="R1112" s="5" t="str">
        <f t="shared" si="105"/>
        <v>Medium</v>
      </c>
      <c r="S1112" s="5" t="str">
        <f t="shared" si="106"/>
        <v>Pending</v>
      </c>
      <c r="T1112" s="5" t="str">
        <f t="shared" si="107"/>
        <v>Yes</v>
      </c>
    </row>
    <row r="1113" spans="1:20"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c r="O1113">
        <f t="shared" si="102"/>
        <v>937.8</v>
      </c>
      <c r="P1113" t="str">
        <f t="shared" si="103"/>
        <v>May</v>
      </c>
      <c r="Q1113" t="str">
        <f t="shared" si="104"/>
        <v>Q2</v>
      </c>
      <c r="R1113" s="5" t="str">
        <f t="shared" si="105"/>
        <v>Large</v>
      </c>
      <c r="S1113" s="5" t="str">
        <f t="shared" si="106"/>
        <v>Pending</v>
      </c>
      <c r="T1113" s="5" t="str">
        <f t="shared" si="107"/>
        <v>Yes</v>
      </c>
    </row>
    <row r="1114" spans="1:20"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c r="O1114">
        <f t="shared" si="102"/>
        <v>356.81</v>
      </c>
      <c r="P1114" t="str">
        <f t="shared" si="103"/>
        <v>Oct</v>
      </c>
      <c r="Q1114" t="str">
        <f t="shared" si="104"/>
        <v>Q4</v>
      </c>
      <c r="R1114" s="5" t="str">
        <f t="shared" si="105"/>
        <v>Medium</v>
      </c>
      <c r="S1114" s="5" t="str">
        <f t="shared" si="106"/>
        <v>Completed</v>
      </c>
      <c r="T1114" s="5" t="str">
        <f t="shared" si="107"/>
        <v>Yes</v>
      </c>
    </row>
    <row r="1115" spans="1:20" x14ac:dyDescent="0.35">
      <c r="A1115" t="s">
        <v>1127</v>
      </c>
      <c r="B1115" s="2">
        <v>45004</v>
      </c>
      <c r="C1115" t="s">
        <v>2318</v>
      </c>
      <c r="D1115" t="s">
        <v>2409</v>
      </c>
      <c r="E1115">
        <v>4</v>
      </c>
      <c r="F1115">
        <v>209.99</v>
      </c>
      <c r="G1115" t="s">
        <v>2982</v>
      </c>
      <c r="H1115" t="s">
        <v>3069</v>
      </c>
      <c r="I1115" t="s">
        <v>3073</v>
      </c>
      <c r="J1115" t="s">
        <v>4188</v>
      </c>
      <c r="K1115">
        <v>8</v>
      </c>
      <c r="L1115" t="s">
        <v>4329</v>
      </c>
      <c r="M1115" t="s">
        <v>4282</v>
      </c>
      <c r="N1115">
        <v>839.96</v>
      </c>
      <c r="O1115">
        <f t="shared" si="102"/>
        <v>839.96</v>
      </c>
      <c r="P1115" t="str">
        <f t="shared" si="103"/>
        <v>Mar</v>
      </c>
      <c r="Q1115" t="str">
        <f t="shared" si="104"/>
        <v>Q1</v>
      </c>
      <c r="R1115" s="5" t="str">
        <f t="shared" si="105"/>
        <v>Large</v>
      </c>
      <c r="S1115" s="5" t="str">
        <f t="shared" si="106"/>
        <v>Completed</v>
      </c>
      <c r="T1115" s="5" t="str">
        <f t="shared" si="107"/>
        <v>Yes</v>
      </c>
    </row>
    <row r="1116" spans="1:20" x14ac:dyDescent="0.35">
      <c r="A1116" t="s">
        <v>1128</v>
      </c>
      <c r="B1116" s="2">
        <v>45001</v>
      </c>
      <c r="C1116" t="s">
        <v>2319</v>
      </c>
      <c r="D1116" t="s">
        <v>2405</v>
      </c>
      <c r="E1116">
        <v>3</v>
      </c>
      <c r="F1116">
        <v>659.88</v>
      </c>
      <c r="G1116" t="s">
        <v>2591</v>
      </c>
      <c r="H1116" t="s">
        <v>3068</v>
      </c>
      <c r="I1116" t="s">
        <v>3071</v>
      </c>
      <c r="J1116" t="s">
        <v>4189</v>
      </c>
      <c r="K1116">
        <v>3</v>
      </c>
      <c r="L1116" t="s">
        <v>4329</v>
      </c>
      <c r="M1116" t="s">
        <v>4282</v>
      </c>
      <c r="N1116">
        <v>1979.64</v>
      </c>
      <c r="O1116">
        <f t="shared" si="102"/>
        <v>1979.6399999999999</v>
      </c>
      <c r="P1116" t="str">
        <f t="shared" si="103"/>
        <v>Mar</v>
      </c>
      <c r="Q1116" t="str">
        <f t="shared" si="104"/>
        <v>Q1</v>
      </c>
      <c r="R1116" s="5" t="str">
        <f t="shared" si="105"/>
        <v>Large</v>
      </c>
      <c r="S1116" s="5" t="str">
        <f t="shared" si="106"/>
        <v>Pending</v>
      </c>
      <c r="T1116" s="5" t="str">
        <f t="shared" si="107"/>
        <v>Yes</v>
      </c>
    </row>
    <row r="1117" spans="1:20" x14ac:dyDescent="0.35">
      <c r="A1117" t="s">
        <v>1129</v>
      </c>
      <c r="B1117" s="2">
        <v>45828</v>
      </c>
      <c r="C1117" t="s">
        <v>2320</v>
      </c>
      <c r="D1117" t="s">
        <v>2408</v>
      </c>
      <c r="E1117">
        <v>2</v>
      </c>
      <c r="F1117">
        <v>336.32</v>
      </c>
      <c r="G1117" t="s">
        <v>2613</v>
      </c>
      <c r="H1117" t="s">
        <v>3066</v>
      </c>
      <c r="I1117" t="s">
        <v>3072</v>
      </c>
      <c r="J1117" t="s">
        <v>4190</v>
      </c>
      <c r="K1117">
        <v>3</v>
      </c>
      <c r="L1117" t="s">
        <v>4329</v>
      </c>
      <c r="M1117" t="s">
        <v>4282</v>
      </c>
      <c r="N1117">
        <v>672.64</v>
      </c>
      <c r="O1117">
        <f t="shared" si="102"/>
        <v>672.64</v>
      </c>
      <c r="P1117" t="str">
        <f t="shared" si="103"/>
        <v>Jun</v>
      </c>
      <c r="Q1117" t="str">
        <f t="shared" si="104"/>
        <v>Q2</v>
      </c>
      <c r="R1117" s="5" t="str">
        <f t="shared" si="105"/>
        <v>Large</v>
      </c>
      <c r="S1117" s="5" t="str">
        <f t="shared" si="106"/>
        <v>Pending</v>
      </c>
      <c r="T1117" s="5" t="str">
        <f t="shared" si="107"/>
        <v>Yes</v>
      </c>
    </row>
    <row r="1118" spans="1:20"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c r="O1118">
        <f t="shared" si="102"/>
        <v>1062.98</v>
      </c>
      <c r="P1118" t="str">
        <f t="shared" si="103"/>
        <v>Oct</v>
      </c>
      <c r="Q1118" t="str">
        <f t="shared" si="104"/>
        <v>Q4</v>
      </c>
      <c r="R1118" s="5" t="str">
        <f t="shared" si="105"/>
        <v>Large</v>
      </c>
      <c r="S1118" s="5" t="str">
        <f t="shared" si="106"/>
        <v>Completed</v>
      </c>
      <c r="T1118" s="5" t="str">
        <f t="shared" si="107"/>
        <v>Yes</v>
      </c>
    </row>
    <row r="1119" spans="1:20"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c r="O1119">
        <f t="shared" si="102"/>
        <v>1765.3200000000002</v>
      </c>
      <c r="P1119" t="str">
        <f t="shared" si="103"/>
        <v>May</v>
      </c>
      <c r="Q1119" t="str">
        <f t="shared" si="104"/>
        <v>Q2</v>
      </c>
      <c r="R1119" s="5" t="str">
        <f t="shared" si="105"/>
        <v>Large</v>
      </c>
      <c r="S1119" s="5" t="str">
        <f t="shared" si="106"/>
        <v>Pending</v>
      </c>
      <c r="T1119" s="5" t="str">
        <f t="shared" si="107"/>
        <v>Yes</v>
      </c>
    </row>
    <row r="1120" spans="1:20" x14ac:dyDescent="0.35">
      <c r="A1120" t="s">
        <v>1132</v>
      </c>
      <c r="B1120" s="2">
        <v>45436</v>
      </c>
      <c r="C1120" t="s">
        <v>2323</v>
      </c>
      <c r="D1120" t="s">
        <v>2404</v>
      </c>
      <c r="E1120">
        <v>3</v>
      </c>
      <c r="F1120">
        <v>251.48</v>
      </c>
      <c r="G1120" t="s">
        <v>2729</v>
      </c>
      <c r="H1120" t="s">
        <v>3067</v>
      </c>
      <c r="I1120" t="s">
        <v>3072</v>
      </c>
      <c r="J1120" t="s">
        <v>4193</v>
      </c>
      <c r="K1120">
        <v>4</v>
      </c>
      <c r="L1120" t="s">
        <v>4329</v>
      </c>
      <c r="M1120" t="s">
        <v>4280</v>
      </c>
      <c r="N1120">
        <v>754.43999999999994</v>
      </c>
      <c r="O1120">
        <f t="shared" si="102"/>
        <v>754.43999999999994</v>
      </c>
      <c r="P1120" t="str">
        <f t="shared" si="103"/>
        <v>May</v>
      </c>
      <c r="Q1120" t="str">
        <f t="shared" si="104"/>
        <v>Q2</v>
      </c>
      <c r="R1120" s="5" t="str">
        <f t="shared" si="105"/>
        <v>Large</v>
      </c>
      <c r="S1120" s="5" t="str">
        <f t="shared" si="106"/>
        <v>Pending</v>
      </c>
      <c r="T1120" s="5" t="str">
        <f t="shared" si="107"/>
        <v>Yes</v>
      </c>
    </row>
    <row r="1121" spans="1:20"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c r="O1121">
        <f t="shared" si="102"/>
        <v>684.65</v>
      </c>
      <c r="P1121" t="str">
        <f t="shared" si="103"/>
        <v>Nov</v>
      </c>
      <c r="Q1121" t="str">
        <f t="shared" si="104"/>
        <v>Q4</v>
      </c>
      <c r="R1121" s="5" t="str">
        <f t="shared" si="105"/>
        <v>Large</v>
      </c>
      <c r="S1121" s="5" t="str">
        <f t="shared" si="106"/>
        <v>Completed</v>
      </c>
      <c r="T1121" s="5" t="str">
        <f t="shared" si="107"/>
        <v>Yes</v>
      </c>
    </row>
    <row r="1122" spans="1:20" x14ac:dyDescent="0.35">
      <c r="A1122" t="s">
        <v>1134</v>
      </c>
      <c r="B1122" s="2">
        <v>45787</v>
      </c>
      <c r="C1122" t="s">
        <v>2325</v>
      </c>
      <c r="D1122" t="s">
        <v>2405</v>
      </c>
      <c r="E1122">
        <v>1</v>
      </c>
      <c r="F1122">
        <v>195.86</v>
      </c>
      <c r="G1122" t="s">
        <v>2450</v>
      </c>
      <c r="H1122" t="s">
        <v>3066</v>
      </c>
      <c r="I1122" t="s">
        <v>3074</v>
      </c>
      <c r="J1122" t="s">
        <v>4195</v>
      </c>
      <c r="K1122">
        <v>3</v>
      </c>
      <c r="L1122" t="s">
        <v>4329</v>
      </c>
      <c r="M1122" t="s">
        <v>4281</v>
      </c>
      <c r="N1122">
        <v>195.86</v>
      </c>
      <c r="O1122">
        <f t="shared" si="102"/>
        <v>195.86</v>
      </c>
      <c r="P1122" t="str">
        <f t="shared" si="103"/>
        <v>May</v>
      </c>
      <c r="Q1122" t="str">
        <f t="shared" si="104"/>
        <v>Q2</v>
      </c>
      <c r="R1122" s="5" t="str">
        <f t="shared" si="105"/>
        <v>Medium</v>
      </c>
      <c r="S1122" s="5" t="str">
        <f t="shared" si="106"/>
        <v>Pending</v>
      </c>
      <c r="T1122" s="5" t="str">
        <f t="shared" si="107"/>
        <v>Yes</v>
      </c>
    </row>
    <row r="1123" spans="1:20"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c r="O1123">
        <f t="shared" si="102"/>
        <v>151.02000000000001</v>
      </c>
      <c r="P1123" t="str">
        <f t="shared" si="103"/>
        <v>May</v>
      </c>
      <c r="Q1123" t="str">
        <f t="shared" si="104"/>
        <v>Q2</v>
      </c>
      <c r="R1123" s="5" t="str">
        <f t="shared" si="105"/>
        <v>Medium</v>
      </c>
      <c r="S1123" s="5" t="str">
        <f t="shared" si="106"/>
        <v>Pending</v>
      </c>
      <c r="T1123" s="5" t="str">
        <f t="shared" si="107"/>
        <v>Yes</v>
      </c>
    </row>
    <row r="1124" spans="1:20" x14ac:dyDescent="0.35">
      <c r="A1124" t="s">
        <v>1136</v>
      </c>
      <c r="B1124" s="2">
        <v>45084</v>
      </c>
      <c r="C1124" t="s">
        <v>1480</v>
      </c>
      <c r="D1124" t="s">
        <v>2403</v>
      </c>
      <c r="E1124">
        <v>5</v>
      </c>
      <c r="F1124">
        <v>678.19</v>
      </c>
      <c r="G1124" t="s">
        <v>3008</v>
      </c>
      <c r="H1124" t="s">
        <v>3066</v>
      </c>
      <c r="I1124" t="s">
        <v>3072</v>
      </c>
      <c r="J1124" t="s">
        <v>4197</v>
      </c>
      <c r="K1124">
        <v>8</v>
      </c>
      <c r="L1124" t="s">
        <v>4329</v>
      </c>
      <c r="M1124" t="s">
        <v>4281</v>
      </c>
      <c r="N1124">
        <v>3390.95</v>
      </c>
      <c r="O1124">
        <f t="shared" si="102"/>
        <v>3390.9500000000003</v>
      </c>
      <c r="P1124" t="str">
        <f t="shared" si="103"/>
        <v>Jun</v>
      </c>
      <c r="Q1124" t="str">
        <f t="shared" si="104"/>
        <v>Q2</v>
      </c>
      <c r="R1124" s="5" t="str">
        <f t="shared" si="105"/>
        <v>Large</v>
      </c>
      <c r="S1124" s="5" t="str">
        <f t="shared" si="106"/>
        <v>Pending</v>
      </c>
      <c r="T1124" s="5" t="str">
        <f t="shared" si="107"/>
        <v>Yes</v>
      </c>
    </row>
    <row r="1125" spans="1:20"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c r="O1125">
        <f t="shared" si="102"/>
        <v>1662.75</v>
      </c>
      <c r="P1125" t="str">
        <f t="shared" si="103"/>
        <v>Apr</v>
      </c>
      <c r="Q1125" t="str">
        <f t="shared" si="104"/>
        <v>Q2</v>
      </c>
      <c r="R1125" s="5" t="str">
        <f t="shared" si="105"/>
        <v>Large</v>
      </c>
      <c r="S1125" s="5" t="str">
        <f t="shared" si="106"/>
        <v>Pending</v>
      </c>
      <c r="T1125" s="5" t="str">
        <f t="shared" si="107"/>
        <v>Yes</v>
      </c>
    </row>
    <row r="1126" spans="1:20" x14ac:dyDescent="0.35">
      <c r="A1126" t="s">
        <v>1138</v>
      </c>
      <c r="B1126" s="2">
        <v>45055</v>
      </c>
      <c r="C1126" t="s">
        <v>2328</v>
      </c>
      <c r="D1126" t="s">
        <v>2406</v>
      </c>
      <c r="E1126">
        <v>4</v>
      </c>
      <c r="F1126">
        <v>576.87</v>
      </c>
      <c r="G1126" t="s">
        <v>3037</v>
      </c>
      <c r="H1126" t="s">
        <v>3068</v>
      </c>
      <c r="I1126" t="s">
        <v>3072</v>
      </c>
      <c r="J1126" t="s">
        <v>4199</v>
      </c>
      <c r="K1126">
        <v>5</v>
      </c>
      <c r="L1126" t="s">
        <v>4329</v>
      </c>
      <c r="M1126" t="s">
        <v>4278</v>
      </c>
      <c r="N1126">
        <v>2307.48</v>
      </c>
      <c r="O1126">
        <f t="shared" si="102"/>
        <v>2307.48</v>
      </c>
      <c r="P1126" t="str">
        <f t="shared" si="103"/>
        <v>May</v>
      </c>
      <c r="Q1126" t="str">
        <f t="shared" si="104"/>
        <v>Q2</v>
      </c>
      <c r="R1126" s="5" t="str">
        <f t="shared" si="105"/>
        <v>Large</v>
      </c>
      <c r="S1126" s="5" t="str">
        <f t="shared" si="106"/>
        <v>Pending</v>
      </c>
      <c r="T1126" s="5" t="str">
        <f t="shared" si="107"/>
        <v>Yes</v>
      </c>
    </row>
    <row r="1127" spans="1:20"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c r="O1127">
        <f t="shared" si="102"/>
        <v>1633.44</v>
      </c>
      <c r="P1127" t="str">
        <f t="shared" si="103"/>
        <v>Oct</v>
      </c>
      <c r="Q1127" t="str">
        <f t="shared" si="104"/>
        <v>Q4</v>
      </c>
      <c r="R1127" s="5" t="str">
        <f t="shared" si="105"/>
        <v>Large</v>
      </c>
      <c r="S1127" s="5" t="str">
        <f t="shared" si="106"/>
        <v>Pending</v>
      </c>
      <c r="T1127" s="5" t="str">
        <f t="shared" si="107"/>
        <v>Yes</v>
      </c>
    </row>
    <row r="1128" spans="1:20"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c r="O1128">
        <f t="shared" si="102"/>
        <v>950.55000000000007</v>
      </c>
      <c r="P1128" t="str">
        <f t="shared" si="103"/>
        <v>Jul</v>
      </c>
      <c r="Q1128" t="str">
        <f t="shared" si="104"/>
        <v>Q3</v>
      </c>
      <c r="R1128" s="5" t="str">
        <f t="shared" si="105"/>
        <v>Large</v>
      </c>
      <c r="S1128" s="5" t="str">
        <f t="shared" si="106"/>
        <v>Completed</v>
      </c>
      <c r="T1128" s="5" t="str">
        <f t="shared" si="107"/>
        <v>Yes</v>
      </c>
    </row>
    <row r="1129" spans="1:20"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c r="O1129">
        <f t="shared" si="102"/>
        <v>1808.25</v>
      </c>
      <c r="P1129" t="str">
        <f t="shared" si="103"/>
        <v>Mar</v>
      </c>
      <c r="Q1129" t="str">
        <f t="shared" si="104"/>
        <v>Q1</v>
      </c>
      <c r="R1129" s="5" t="str">
        <f t="shared" si="105"/>
        <v>Large</v>
      </c>
      <c r="S1129" s="5" t="str">
        <f t="shared" si="106"/>
        <v>Pending</v>
      </c>
      <c r="T1129" s="5" t="str">
        <f t="shared" si="107"/>
        <v>Yes</v>
      </c>
    </row>
    <row r="1130" spans="1:20"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c r="O1130">
        <f t="shared" si="102"/>
        <v>1940.37</v>
      </c>
      <c r="P1130" t="str">
        <f t="shared" si="103"/>
        <v>Aug</v>
      </c>
      <c r="Q1130" t="str">
        <f t="shared" si="104"/>
        <v>Q3</v>
      </c>
      <c r="R1130" s="5" t="str">
        <f t="shared" si="105"/>
        <v>Large</v>
      </c>
      <c r="S1130" s="5" t="str">
        <f t="shared" si="106"/>
        <v>Pending</v>
      </c>
      <c r="T1130" s="5" t="str">
        <f t="shared" si="107"/>
        <v>Yes</v>
      </c>
    </row>
    <row r="1131" spans="1:20"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c r="O1131">
        <f t="shared" si="102"/>
        <v>1674.84</v>
      </c>
      <c r="P1131" t="str">
        <f t="shared" si="103"/>
        <v>Jun</v>
      </c>
      <c r="Q1131" t="str">
        <f t="shared" si="104"/>
        <v>Q2</v>
      </c>
      <c r="R1131" s="5" t="str">
        <f t="shared" si="105"/>
        <v>Large</v>
      </c>
      <c r="S1131" s="5" t="str">
        <f t="shared" si="106"/>
        <v>Pending</v>
      </c>
      <c r="T1131" s="5" t="str">
        <f t="shared" si="107"/>
        <v>Yes</v>
      </c>
    </row>
    <row r="1132" spans="1:20"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c r="O1132">
        <f t="shared" si="102"/>
        <v>646.9</v>
      </c>
      <c r="P1132" t="str">
        <f t="shared" si="103"/>
        <v>Feb</v>
      </c>
      <c r="Q1132" t="str">
        <f t="shared" si="104"/>
        <v>Q1</v>
      </c>
      <c r="R1132" s="5" t="str">
        <f t="shared" si="105"/>
        <v>Large</v>
      </c>
      <c r="S1132" s="5" t="str">
        <f t="shared" si="106"/>
        <v>Pending</v>
      </c>
      <c r="T1132" s="5" t="str">
        <f t="shared" si="107"/>
        <v>Yes</v>
      </c>
    </row>
    <row r="1133" spans="1:20"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c r="O1133">
        <f t="shared" si="102"/>
        <v>694.5</v>
      </c>
      <c r="P1133" t="str">
        <f t="shared" si="103"/>
        <v>Jul</v>
      </c>
      <c r="Q1133" t="str">
        <f t="shared" si="104"/>
        <v>Q3</v>
      </c>
      <c r="R1133" s="5" t="str">
        <f t="shared" si="105"/>
        <v>Large</v>
      </c>
      <c r="S1133" s="5" t="str">
        <f t="shared" si="106"/>
        <v>Pending</v>
      </c>
      <c r="T1133" s="5" t="str">
        <f t="shared" si="107"/>
        <v>Yes</v>
      </c>
    </row>
    <row r="1134" spans="1:20"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c r="O1134">
        <f t="shared" si="102"/>
        <v>674.64</v>
      </c>
      <c r="P1134" t="str">
        <f t="shared" si="103"/>
        <v>Dec</v>
      </c>
      <c r="Q1134" t="str">
        <f t="shared" si="104"/>
        <v>Q4</v>
      </c>
      <c r="R1134" s="5" t="str">
        <f t="shared" si="105"/>
        <v>Large</v>
      </c>
      <c r="S1134" s="5" t="str">
        <f t="shared" si="106"/>
        <v>Pending</v>
      </c>
      <c r="T1134" s="5" t="str">
        <f t="shared" si="107"/>
        <v>Yes</v>
      </c>
    </row>
    <row r="1135" spans="1:20"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c r="O1135">
        <f t="shared" si="102"/>
        <v>935.82</v>
      </c>
      <c r="P1135" t="str">
        <f t="shared" si="103"/>
        <v>Apr</v>
      </c>
      <c r="Q1135" t="str">
        <f t="shared" si="104"/>
        <v>Q2</v>
      </c>
      <c r="R1135" s="5" t="str">
        <f t="shared" si="105"/>
        <v>Large</v>
      </c>
      <c r="S1135" s="5" t="str">
        <f t="shared" si="106"/>
        <v>Pending</v>
      </c>
      <c r="T1135" s="5" t="str">
        <f t="shared" si="107"/>
        <v>Yes</v>
      </c>
    </row>
    <row r="1136" spans="1:20"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c r="O1136">
        <f t="shared" si="102"/>
        <v>153.12</v>
      </c>
      <c r="P1136" t="str">
        <f t="shared" si="103"/>
        <v>Jun</v>
      </c>
      <c r="Q1136" t="str">
        <f t="shared" si="104"/>
        <v>Q2</v>
      </c>
      <c r="R1136" s="5" t="str">
        <f t="shared" si="105"/>
        <v>Medium</v>
      </c>
      <c r="S1136" s="5" t="str">
        <f t="shared" si="106"/>
        <v>Pending</v>
      </c>
      <c r="T1136" s="5" t="str">
        <f t="shared" si="107"/>
        <v>Yes</v>
      </c>
    </row>
    <row r="1137" spans="1:20"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c r="O1137">
        <f t="shared" si="102"/>
        <v>146.82</v>
      </c>
      <c r="P1137" t="str">
        <f t="shared" si="103"/>
        <v>Dec</v>
      </c>
      <c r="Q1137" t="str">
        <f t="shared" si="104"/>
        <v>Q4</v>
      </c>
      <c r="R1137" s="5" t="str">
        <f t="shared" si="105"/>
        <v>Medium</v>
      </c>
      <c r="S1137" s="5" t="str">
        <f t="shared" si="106"/>
        <v>Pending</v>
      </c>
      <c r="T1137" s="5" t="str">
        <f t="shared" si="107"/>
        <v>Yes</v>
      </c>
    </row>
    <row r="1138" spans="1:20"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c r="O1138">
        <f t="shared" si="102"/>
        <v>2004.9900000000002</v>
      </c>
      <c r="P1138" t="str">
        <f t="shared" si="103"/>
        <v>Sep</v>
      </c>
      <c r="Q1138" t="str">
        <f t="shared" si="104"/>
        <v>Q3</v>
      </c>
      <c r="R1138" s="5" t="str">
        <f t="shared" si="105"/>
        <v>Large</v>
      </c>
      <c r="S1138" s="5" t="str">
        <f t="shared" si="106"/>
        <v>Pending</v>
      </c>
      <c r="T1138" s="5" t="str">
        <f t="shared" si="107"/>
        <v>Yes</v>
      </c>
    </row>
    <row r="1139" spans="1:20"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c r="O1139">
        <f t="shared" si="102"/>
        <v>1640.84</v>
      </c>
      <c r="P1139" t="str">
        <f t="shared" si="103"/>
        <v>Jul</v>
      </c>
      <c r="Q1139" t="str">
        <f t="shared" si="104"/>
        <v>Q3</v>
      </c>
      <c r="R1139" s="5" t="str">
        <f t="shared" si="105"/>
        <v>Large</v>
      </c>
      <c r="S1139" s="5" t="str">
        <f t="shared" si="106"/>
        <v>Pending</v>
      </c>
      <c r="T1139" s="5" t="str">
        <f t="shared" si="107"/>
        <v>Yes</v>
      </c>
    </row>
    <row r="1140" spans="1:20" x14ac:dyDescent="0.35">
      <c r="A1140" t="s">
        <v>1152</v>
      </c>
      <c r="B1140" s="2">
        <v>45278</v>
      </c>
      <c r="C1140" t="s">
        <v>2342</v>
      </c>
      <c r="D1140" t="s">
        <v>2409</v>
      </c>
      <c r="E1140">
        <v>4</v>
      </c>
      <c r="F1140">
        <v>294.41000000000003</v>
      </c>
      <c r="G1140" t="s">
        <v>2865</v>
      </c>
      <c r="H1140" t="s">
        <v>3065</v>
      </c>
      <c r="I1140" t="s">
        <v>3074</v>
      </c>
      <c r="J1140" t="s">
        <v>4213</v>
      </c>
      <c r="K1140">
        <v>4</v>
      </c>
      <c r="L1140" t="s">
        <v>4329</v>
      </c>
      <c r="M1140" t="s">
        <v>4278</v>
      </c>
      <c r="N1140">
        <v>1177.6400000000001</v>
      </c>
      <c r="O1140">
        <f t="shared" si="102"/>
        <v>1177.6400000000001</v>
      </c>
      <c r="P1140" t="str">
        <f t="shared" si="103"/>
        <v>Dec</v>
      </c>
      <c r="Q1140" t="str">
        <f t="shared" si="104"/>
        <v>Q4</v>
      </c>
      <c r="R1140" s="5" t="str">
        <f t="shared" si="105"/>
        <v>Large</v>
      </c>
      <c r="S1140" s="5" t="str">
        <f t="shared" si="106"/>
        <v>Pending</v>
      </c>
      <c r="T1140" s="5" t="str">
        <f t="shared" si="107"/>
        <v>Yes</v>
      </c>
    </row>
    <row r="1141" spans="1:20"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c r="O1141">
        <f t="shared" si="102"/>
        <v>1505.46</v>
      </c>
      <c r="P1141" t="str">
        <f t="shared" si="103"/>
        <v>Mar</v>
      </c>
      <c r="Q1141" t="str">
        <f t="shared" si="104"/>
        <v>Q1</v>
      </c>
      <c r="R1141" s="5" t="str">
        <f t="shared" si="105"/>
        <v>Large</v>
      </c>
      <c r="S1141" s="5" t="str">
        <f t="shared" si="106"/>
        <v>Pending</v>
      </c>
      <c r="T1141" s="5" t="str">
        <f t="shared" si="107"/>
        <v>Yes</v>
      </c>
    </row>
    <row r="1142" spans="1:20" x14ac:dyDescent="0.35">
      <c r="A1142" t="s">
        <v>1154</v>
      </c>
      <c r="B1142" s="2">
        <v>45467</v>
      </c>
      <c r="C1142" t="s">
        <v>2343</v>
      </c>
      <c r="D1142" t="s">
        <v>2407</v>
      </c>
      <c r="E1142">
        <v>2</v>
      </c>
      <c r="F1142">
        <v>552.83000000000004</v>
      </c>
      <c r="G1142" t="s">
        <v>2418</v>
      </c>
      <c r="H1142" t="s">
        <v>3067</v>
      </c>
      <c r="I1142" t="s">
        <v>3071</v>
      </c>
      <c r="J1142" t="s">
        <v>4215</v>
      </c>
      <c r="K1142">
        <v>3</v>
      </c>
      <c r="L1142" t="s">
        <v>4329</v>
      </c>
      <c r="M1142" t="s">
        <v>4279</v>
      </c>
      <c r="N1142">
        <v>1105.6600000000001</v>
      </c>
      <c r="O1142">
        <f t="shared" si="102"/>
        <v>1105.6600000000001</v>
      </c>
      <c r="P1142" t="str">
        <f t="shared" si="103"/>
        <v>Jun</v>
      </c>
      <c r="Q1142" t="str">
        <f t="shared" si="104"/>
        <v>Q2</v>
      </c>
      <c r="R1142" s="5" t="str">
        <f t="shared" si="105"/>
        <v>Large</v>
      </c>
      <c r="S1142" s="5" t="str">
        <f t="shared" si="106"/>
        <v>Pending</v>
      </c>
      <c r="T1142" s="5" t="str">
        <f t="shared" si="107"/>
        <v>Yes</v>
      </c>
    </row>
    <row r="1143" spans="1:20" x14ac:dyDescent="0.35">
      <c r="A1143" t="s">
        <v>1155</v>
      </c>
      <c r="B1143" s="2">
        <v>45704</v>
      </c>
      <c r="C1143" t="s">
        <v>2344</v>
      </c>
      <c r="D1143" t="s">
        <v>2406</v>
      </c>
      <c r="E1143">
        <v>3</v>
      </c>
      <c r="F1143">
        <v>498.66</v>
      </c>
      <c r="G1143" t="s">
        <v>2427</v>
      </c>
      <c r="H1143" t="s">
        <v>3069</v>
      </c>
      <c r="I1143" t="s">
        <v>3071</v>
      </c>
      <c r="J1143" t="s">
        <v>4216</v>
      </c>
      <c r="K1143">
        <v>6</v>
      </c>
      <c r="L1143" t="s">
        <v>4329</v>
      </c>
      <c r="M1143" t="s">
        <v>4280</v>
      </c>
      <c r="N1143">
        <v>1495.98</v>
      </c>
      <c r="O1143">
        <f t="shared" si="102"/>
        <v>1495.98</v>
      </c>
      <c r="P1143" t="str">
        <f t="shared" si="103"/>
        <v>Feb</v>
      </c>
      <c r="Q1143" t="str">
        <f t="shared" si="104"/>
        <v>Q1</v>
      </c>
      <c r="R1143" s="5" t="str">
        <f t="shared" si="105"/>
        <v>Large</v>
      </c>
      <c r="S1143" s="5" t="str">
        <f t="shared" si="106"/>
        <v>Pending</v>
      </c>
      <c r="T1143" s="5" t="str">
        <f t="shared" si="107"/>
        <v>Yes</v>
      </c>
    </row>
    <row r="1144" spans="1:20" x14ac:dyDescent="0.35">
      <c r="A1144" t="s">
        <v>1156</v>
      </c>
      <c r="B1144" s="2">
        <v>45527</v>
      </c>
      <c r="C1144" t="s">
        <v>2345</v>
      </c>
      <c r="D1144" t="s">
        <v>2404</v>
      </c>
      <c r="E1144">
        <v>4</v>
      </c>
      <c r="F1144">
        <v>695.1</v>
      </c>
      <c r="G1144" t="s">
        <v>3041</v>
      </c>
      <c r="H1144" t="s">
        <v>3065</v>
      </c>
      <c r="I1144" t="s">
        <v>3072</v>
      </c>
      <c r="J1144" t="s">
        <v>4217</v>
      </c>
      <c r="K1144">
        <v>8</v>
      </c>
      <c r="L1144" t="s">
        <v>4329</v>
      </c>
      <c r="M1144" t="s">
        <v>4280</v>
      </c>
      <c r="N1144">
        <v>2780.4</v>
      </c>
      <c r="O1144">
        <f t="shared" si="102"/>
        <v>2780.4</v>
      </c>
      <c r="P1144" t="str">
        <f t="shared" si="103"/>
        <v>Aug</v>
      </c>
      <c r="Q1144" t="str">
        <f t="shared" si="104"/>
        <v>Q3</v>
      </c>
      <c r="R1144" s="5" t="str">
        <f t="shared" si="105"/>
        <v>Large</v>
      </c>
      <c r="S1144" s="5" t="str">
        <f t="shared" si="106"/>
        <v>Pending</v>
      </c>
      <c r="T1144" s="5" t="str">
        <f t="shared" si="107"/>
        <v>Yes</v>
      </c>
    </row>
    <row r="1145" spans="1:20" x14ac:dyDescent="0.35">
      <c r="A1145" t="s">
        <v>1157</v>
      </c>
      <c r="B1145" s="2">
        <v>45019</v>
      </c>
      <c r="C1145" t="s">
        <v>2346</v>
      </c>
      <c r="D1145" t="s">
        <v>2406</v>
      </c>
      <c r="E1145">
        <v>1</v>
      </c>
      <c r="F1145">
        <v>381.61</v>
      </c>
      <c r="G1145" t="s">
        <v>3042</v>
      </c>
      <c r="H1145" t="s">
        <v>3065</v>
      </c>
      <c r="I1145" t="s">
        <v>3074</v>
      </c>
      <c r="J1145" t="s">
        <v>4218</v>
      </c>
      <c r="K1145">
        <v>5</v>
      </c>
      <c r="L1145" t="s">
        <v>4329</v>
      </c>
      <c r="M1145" t="s">
        <v>4280</v>
      </c>
      <c r="N1145">
        <v>381.61</v>
      </c>
      <c r="O1145">
        <f t="shared" si="102"/>
        <v>381.61</v>
      </c>
      <c r="P1145" t="str">
        <f t="shared" si="103"/>
        <v>Apr</v>
      </c>
      <c r="Q1145" t="str">
        <f t="shared" si="104"/>
        <v>Q2</v>
      </c>
      <c r="R1145" s="5" t="str">
        <f t="shared" si="105"/>
        <v>Medium</v>
      </c>
      <c r="S1145" s="5" t="str">
        <f t="shared" si="106"/>
        <v>Pending</v>
      </c>
      <c r="T1145" s="5" t="str">
        <f t="shared" si="107"/>
        <v>Yes</v>
      </c>
    </row>
    <row r="1146" spans="1:20" x14ac:dyDescent="0.35">
      <c r="A1146" t="s">
        <v>1158</v>
      </c>
      <c r="B1146" s="2">
        <v>44973</v>
      </c>
      <c r="C1146" t="s">
        <v>2347</v>
      </c>
      <c r="D1146" t="s">
        <v>2409</v>
      </c>
      <c r="E1146">
        <v>5</v>
      </c>
      <c r="F1146">
        <v>507.94</v>
      </c>
      <c r="G1146" t="s">
        <v>3043</v>
      </c>
      <c r="H1146" t="s">
        <v>3066</v>
      </c>
      <c r="I1146" t="s">
        <v>3071</v>
      </c>
      <c r="J1146" t="s">
        <v>4219</v>
      </c>
      <c r="K1146">
        <v>9</v>
      </c>
      <c r="L1146" t="s">
        <v>4329</v>
      </c>
      <c r="M1146" t="s">
        <v>4281</v>
      </c>
      <c r="N1146">
        <v>2539.6999999999998</v>
      </c>
      <c r="O1146">
        <f t="shared" si="102"/>
        <v>2539.6999999999998</v>
      </c>
      <c r="P1146" t="str">
        <f t="shared" si="103"/>
        <v>Feb</v>
      </c>
      <c r="Q1146" t="str">
        <f t="shared" si="104"/>
        <v>Q1</v>
      </c>
      <c r="R1146" s="5" t="str">
        <f t="shared" si="105"/>
        <v>Large</v>
      </c>
      <c r="S1146" s="5" t="str">
        <f t="shared" si="106"/>
        <v>Pending</v>
      </c>
      <c r="T1146" s="5" t="str">
        <f t="shared" si="107"/>
        <v>Yes</v>
      </c>
    </row>
    <row r="1147" spans="1:20"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c r="O1147">
        <f t="shared" si="102"/>
        <v>1714.59</v>
      </c>
      <c r="P1147" t="str">
        <f t="shared" si="103"/>
        <v>May</v>
      </c>
      <c r="Q1147" t="str">
        <f t="shared" si="104"/>
        <v>Q2</v>
      </c>
      <c r="R1147" s="5" t="str">
        <f t="shared" si="105"/>
        <v>Large</v>
      </c>
      <c r="S1147" s="5" t="str">
        <f t="shared" si="106"/>
        <v>Completed</v>
      </c>
      <c r="T1147" s="5" t="str">
        <f t="shared" si="107"/>
        <v>Yes</v>
      </c>
    </row>
    <row r="1148" spans="1:20"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c r="O1148">
        <f t="shared" si="102"/>
        <v>2107.1999999999998</v>
      </c>
      <c r="P1148" t="str">
        <f t="shared" si="103"/>
        <v>Oct</v>
      </c>
      <c r="Q1148" t="str">
        <f t="shared" si="104"/>
        <v>Q4</v>
      </c>
      <c r="R1148" s="5" t="str">
        <f t="shared" si="105"/>
        <v>Large</v>
      </c>
      <c r="S1148" s="5" t="str">
        <f t="shared" si="106"/>
        <v>Pending</v>
      </c>
      <c r="T1148" s="5" t="str">
        <f t="shared" si="107"/>
        <v>Yes</v>
      </c>
    </row>
    <row r="1149" spans="1:20"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c r="O1149">
        <f t="shared" si="102"/>
        <v>1176.5999999999999</v>
      </c>
      <c r="P1149" t="str">
        <f t="shared" si="103"/>
        <v>Jan</v>
      </c>
      <c r="Q1149" t="str">
        <f t="shared" si="104"/>
        <v>Q1</v>
      </c>
      <c r="R1149" s="5" t="str">
        <f t="shared" si="105"/>
        <v>Large</v>
      </c>
      <c r="S1149" s="5" t="str">
        <f t="shared" si="106"/>
        <v>Pending</v>
      </c>
      <c r="T1149" s="5" t="str">
        <f t="shared" si="107"/>
        <v>Yes</v>
      </c>
    </row>
    <row r="1150" spans="1:20"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c r="O1150">
        <f t="shared" si="102"/>
        <v>355.15</v>
      </c>
      <c r="P1150" t="str">
        <f t="shared" si="103"/>
        <v>Jun</v>
      </c>
      <c r="Q1150" t="str">
        <f t="shared" si="104"/>
        <v>Q2</v>
      </c>
      <c r="R1150" s="5" t="str">
        <f t="shared" si="105"/>
        <v>Medium</v>
      </c>
      <c r="S1150" s="5" t="str">
        <f t="shared" si="106"/>
        <v>Pending</v>
      </c>
      <c r="T1150" s="5" t="str">
        <f t="shared" si="107"/>
        <v>Yes</v>
      </c>
    </row>
    <row r="1151" spans="1:20"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c r="O1151">
        <f t="shared" si="102"/>
        <v>1390.58</v>
      </c>
      <c r="P1151" t="str">
        <f t="shared" si="103"/>
        <v>Jul</v>
      </c>
      <c r="Q1151" t="str">
        <f t="shared" si="104"/>
        <v>Q3</v>
      </c>
      <c r="R1151" s="5" t="str">
        <f t="shared" si="105"/>
        <v>Large</v>
      </c>
      <c r="S1151" s="5" t="str">
        <f t="shared" si="106"/>
        <v>Pending</v>
      </c>
      <c r="T1151" s="5" t="str">
        <f t="shared" si="107"/>
        <v>Yes</v>
      </c>
    </row>
    <row r="1152" spans="1:20"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c r="O1152">
        <f t="shared" si="102"/>
        <v>1210.5999999999999</v>
      </c>
      <c r="P1152" t="str">
        <f t="shared" si="103"/>
        <v>Feb</v>
      </c>
      <c r="Q1152" t="str">
        <f t="shared" si="104"/>
        <v>Q1</v>
      </c>
      <c r="R1152" s="5" t="str">
        <f t="shared" si="105"/>
        <v>Large</v>
      </c>
      <c r="S1152" s="5" t="str">
        <f t="shared" si="106"/>
        <v>Pending</v>
      </c>
      <c r="T1152" s="5" t="str">
        <f t="shared" si="107"/>
        <v>Yes</v>
      </c>
    </row>
    <row r="1153" spans="1:20" x14ac:dyDescent="0.35">
      <c r="A1153" t="s">
        <v>1165</v>
      </c>
      <c r="B1153" s="2">
        <v>44955</v>
      </c>
      <c r="C1153" t="s">
        <v>2354</v>
      </c>
      <c r="D1153" t="s">
        <v>2406</v>
      </c>
      <c r="E1153">
        <v>2</v>
      </c>
      <c r="F1153">
        <v>608.04</v>
      </c>
      <c r="G1153" t="s">
        <v>3047</v>
      </c>
      <c r="H1153" t="s">
        <v>3069</v>
      </c>
      <c r="I1153" t="s">
        <v>3071</v>
      </c>
      <c r="J1153" t="s">
        <v>4226</v>
      </c>
      <c r="K1153">
        <v>4</v>
      </c>
      <c r="L1153" t="s">
        <v>4329</v>
      </c>
      <c r="M1153" t="s">
        <v>4282</v>
      </c>
      <c r="N1153">
        <v>1216.08</v>
      </c>
      <c r="O1153">
        <f t="shared" si="102"/>
        <v>1216.08</v>
      </c>
      <c r="P1153" t="str">
        <f t="shared" si="103"/>
        <v>Jan</v>
      </c>
      <c r="Q1153" t="str">
        <f t="shared" si="104"/>
        <v>Q1</v>
      </c>
      <c r="R1153" s="5" t="str">
        <f t="shared" si="105"/>
        <v>Large</v>
      </c>
      <c r="S1153" s="5" t="str">
        <f t="shared" si="106"/>
        <v>Pending</v>
      </c>
      <c r="T1153" s="5" t="str">
        <f t="shared" si="107"/>
        <v>Yes</v>
      </c>
    </row>
    <row r="1154" spans="1:20" x14ac:dyDescent="0.35">
      <c r="A1154" t="s">
        <v>1166</v>
      </c>
      <c r="B1154" s="2">
        <v>45239</v>
      </c>
      <c r="C1154" t="s">
        <v>2355</v>
      </c>
      <c r="D1154" t="s">
        <v>2405</v>
      </c>
      <c r="E1154">
        <v>2</v>
      </c>
      <c r="F1154">
        <v>344.18</v>
      </c>
      <c r="G1154" t="s">
        <v>2501</v>
      </c>
      <c r="H1154" t="s">
        <v>3067</v>
      </c>
      <c r="I1154" t="s">
        <v>3070</v>
      </c>
      <c r="J1154" t="s">
        <v>4227</v>
      </c>
      <c r="K1154">
        <v>7</v>
      </c>
      <c r="L1154" t="s">
        <v>4329</v>
      </c>
      <c r="M1154" t="s">
        <v>4279</v>
      </c>
      <c r="N1154">
        <v>688.36</v>
      </c>
      <c r="O1154">
        <f t="shared" ref="O1154:O1201" si="108">E1154*F1154</f>
        <v>688.36</v>
      </c>
      <c r="P1154" t="str">
        <f t="shared" ref="P1154:P1201" si="109">TEXT(B1154, "mmm")</f>
        <v>Nov</v>
      </c>
      <c r="Q1154" t="str">
        <f t="shared" ref="Q1154:Q1201" si="110">"Q"&amp;ROUNDUP(MONTH(B1154)/3,0)</f>
        <v>Q4</v>
      </c>
      <c r="R1154" s="5" t="str">
        <f t="shared" ref="R1154:R1201" si="111">IF(N1154&lt;100,"Small", IF(N1154&lt;500, "Medium", "Large"))</f>
        <v>Large</v>
      </c>
      <c r="S1154" s="5" t="str">
        <f t="shared" ref="S1154:S1201" si="112">IF(I1154="Delivered","Completed","Pending")</f>
        <v>Pending</v>
      </c>
      <c r="T1154" s="5" t="str">
        <f t="shared" ref="T1154:T1201" si="113">IF(L1154="","No", "Yes")</f>
        <v>Yes</v>
      </c>
    </row>
    <row r="1155" spans="1:20" x14ac:dyDescent="0.35">
      <c r="A1155" t="s">
        <v>1167</v>
      </c>
      <c r="B1155" s="2">
        <v>45642</v>
      </c>
      <c r="C1155" t="s">
        <v>2356</v>
      </c>
      <c r="D1155" t="s">
        <v>2403</v>
      </c>
      <c r="E1155">
        <v>4</v>
      </c>
      <c r="F1155">
        <v>696.71</v>
      </c>
      <c r="G1155" t="s">
        <v>3048</v>
      </c>
      <c r="H1155" t="s">
        <v>3065</v>
      </c>
      <c r="I1155" t="s">
        <v>3070</v>
      </c>
      <c r="J1155" t="s">
        <v>4228</v>
      </c>
      <c r="K1155">
        <v>4</v>
      </c>
      <c r="L1155" t="s">
        <v>4329</v>
      </c>
      <c r="M1155" t="s">
        <v>4278</v>
      </c>
      <c r="N1155">
        <v>2786.84</v>
      </c>
      <c r="O1155">
        <f t="shared" si="108"/>
        <v>2786.84</v>
      </c>
      <c r="P1155" t="str">
        <f t="shared" si="109"/>
        <v>Dec</v>
      </c>
      <c r="Q1155" t="str">
        <f t="shared" si="110"/>
        <v>Q4</v>
      </c>
      <c r="R1155" s="5" t="str">
        <f t="shared" si="111"/>
        <v>Large</v>
      </c>
      <c r="S1155" s="5" t="str">
        <f t="shared" si="112"/>
        <v>Pending</v>
      </c>
      <c r="T1155" s="5" t="str">
        <f t="shared" si="113"/>
        <v>Yes</v>
      </c>
    </row>
    <row r="1156" spans="1:20"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c r="O1156">
        <f t="shared" si="108"/>
        <v>595.89</v>
      </c>
      <c r="P1156" t="str">
        <f t="shared" si="109"/>
        <v>Jun</v>
      </c>
      <c r="Q1156" t="str">
        <f t="shared" si="110"/>
        <v>Q2</v>
      </c>
      <c r="R1156" s="5" t="str">
        <f t="shared" si="111"/>
        <v>Large</v>
      </c>
      <c r="S1156" s="5" t="str">
        <f t="shared" si="112"/>
        <v>Pending</v>
      </c>
      <c r="T1156" s="5" t="str">
        <f t="shared" si="113"/>
        <v>Yes</v>
      </c>
    </row>
    <row r="1157" spans="1:20"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c r="O1157">
        <f t="shared" si="108"/>
        <v>2138.2800000000002</v>
      </c>
      <c r="P1157" t="str">
        <f t="shared" si="109"/>
        <v>Aug</v>
      </c>
      <c r="Q1157" t="str">
        <f t="shared" si="110"/>
        <v>Q3</v>
      </c>
      <c r="R1157" s="5" t="str">
        <f t="shared" si="111"/>
        <v>Large</v>
      </c>
      <c r="S1157" s="5" t="str">
        <f t="shared" si="112"/>
        <v>Completed</v>
      </c>
      <c r="T1157" s="5" t="str">
        <f t="shared" si="113"/>
        <v>Yes</v>
      </c>
    </row>
    <row r="1158" spans="1:20" x14ac:dyDescent="0.35">
      <c r="A1158" t="s">
        <v>1170</v>
      </c>
      <c r="B1158" s="2">
        <v>45126</v>
      </c>
      <c r="C1158" t="s">
        <v>2359</v>
      </c>
      <c r="D1158" t="s">
        <v>2408</v>
      </c>
      <c r="E1158">
        <v>4</v>
      </c>
      <c r="F1158">
        <v>690.78</v>
      </c>
      <c r="G1158" t="s">
        <v>2424</v>
      </c>
      <c r="H1158" t="s">
        <v>3067</v>
      </c>
      <c r="I1158" t="s">
        <v>3070</v>
      </c>
      <c r="J1158" t="s">
        <v>4231</v>
      </c>
      <c r="K1158">
        <v>9</v>
      </c>
      <c r="L1158" t="s">
        <v>4329</v>
      </c>
      <c r="M1158" t="s">
        <v>4279</v>
      </c>
      <c r="N1158">
        <v>2763.12</v>
      </c>
      <c r="O1158">
        <f t="shared" si="108"/>
        <v>2763.12</v>
      </c>
      <c r="P1158" t="str">
        <f t="shared" si="109"/>
        <v>Jul</v>
      </c>
      <c r="Q1158" t="str">
        <f t="shared" si="110"/>
        <v>Q3</v>
      </c>
      <c r="R1158" s="5" t="str">
        <f t="shared" si="111"/>
        <v>Large</v>
      </c>
      <c r="S1158" s="5" t="str">
        <f t="shared" si="112"/>
        <v>Pending</v>
      </c>
      <c r="T1158" s="5" t="str">
        <f t="shared" si="113"/>
        <v>Yes</v>
      </c>
    </row>
    <row r="1159" spans="1:20"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c r="O1159">
        <f t="shared" si="108"/>
        <v>904.65000000000009</v>
      </c>
      <c r="P1159" t="str">
        <f t="shared" si="109"/>
        <v>May</v>
      </c>
      <c r="Q1159" t="str">
        <f t="shared" si="110"/>
        <v>Q2</v>
      </c>
      <c r="R1159" s="5" t="str">
        <f t="shared" si="111"/>
        <v>Large</v>
      </c>
      <c r="S1159" s="5" t="str">
        <f t="shared" si="112"/>
        <v>Completed</v>
      </c>
      <c r="T1159" s="5" t="str">
        <f t="shared" si="113"/>
        <v>Yes</v>
      </c>
    </row>
    <row r="1160" spans="1:20"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c r="O1160">
        <f t="shared" si="108"/>
        <v>109.68</v>
      </c>
      <c r="P1160" t="str">
        <f t="shared" si="109"/>
        <v>Apr</v>
      </c>
      <c r="Q1160" t="str">
        <f t="shared" si="110"/>
        <v>Q2</v>
      </c>
      <c r="R1160" s="5" t="str">
        <f t="shared" si="111"/>
        <v>Medium</v>
      </c>
      <c r="S1160" s="5" t="str">
        <f t="shared" si="112"/>
        <v>Pending</v>
      </c>
      <c r="T1160" s="5" t="str">
        <f t="shared" si="113"/>
        <v>Yes</v>
      </c>
    </row>
    <row r="1161" spans="1:20" x14ac:dyDescent="0.35">
      <c r="A1161" t="s">
        <v>1173</v>
      </c>
      <c r="B1161" s="2">
        <v>45345</v>
      </c>
      <c r="C1161" t="s">
        <v>2362</v>
      </c>
      <c r="D1161" t="s">
        <v>2409</v>
      </c>
      <c r="E1161">
        <v>4</v>
      </c>
      <c r="F1161">
        <v>466.7</v>
      </c>
      <c r="G1161" t="s">
        <v>2766</v>
      </c>
      <c r="H1161" t="s">
        <v>3065</v>
      </c>
      <c r="I1161" t="s">
        <v>3072</v>
      </c>
      <c r="J1161" t="s">
        <v>4234</v>
      </c>
      <c r="K1161">
        <v>8</v>
      </c>
      <c r="L1161" t="s">
        <v>4329</v>
      </c>
      <c r="M1161" t="s">
        <v>4278</v>
      </c>
      <c r="N1161">
        <v>1866.8</v>
      </c>
      <c r="O1161">
        <f t="shared" si="108"/>
        <v>1866.8</v>
      </c>
      <c r="P1161" t="str">
        <f t="shared" si="109"/>
        <v>Feb</v>
      </c>
      <c r="Q1161" t="str">
        <f t="shared" si="110"/>
        <v>Q1</v>
      </c>
      <c r="R1161" s="5" t="str">
        <f t="shared" si="111"/>
        <v>Large</v>
      </c>
      <c r="S1161" s="5" t="str">
        <f t="shared" si="112"/>
        <v>Pending</v>
      </c>
      <c r="T1161" s="5" t="str">
        <f t="shared" si="113"/>
        <v>Yes</v>
      </c>
    </row>
    <row r="1162" spans="1:20"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c r="O1162">
        <f t="shared" si="108"/>
        <v>541.64</v>
      </c>
      <c r="P1162" t="str">
        <f t="shared" si="109"/>
        <v>Sep</v>
      </c>
      <c r="Q1162" t="str">
        <f t="shared" si="110"/>
        <v>Q3</v>
      </c>
      <c r="R1162" s="5" t="str">
        <f t="shared" si="111"/>
        <v>Large</v>
      </c>
      <c r="S1162" s="5" t="str">
        <f t="shared" si="112"/>
        <v>Pending</v>
      </c>
      <c r="T1162" s="5" t="str">
        <f t="shared" si="113"/>
        <v>Yes</v>
      </c>
    </row>
    <row r="1163" spans="1:20"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c r="O1163">
        <f t="shared" si="108"/>
        <v>11.39</v>
      </c>
      <c r="P1163" t="str">
        <f t="shared" si="109"/>
        <v>Oct</v>
      </c>
      <c r="Q1163" t="str">
        <f t="shared" si="110"/>
        <v>Q4</v>
      </c>
      <c r="R1163" s="5" t="str">
        <f t="shared" si="111"/>
        <v>Small</v>
      </c>
      <c r="S1163" s="5" t="str">
        <f t="shared" si="112"/>
        <v>Pending</v>
      </c>
      <c r="T1163" s="5" t="str">
        <f t="shared" si="113"/>
        <v>Yes</v>
      </c>
    </row>
    <row r="1164" spans="1:20"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c r="O1164">
        <f t="shared" si="108"/>
        <v>448.74</v>
      </c>
      <c r="P1164" t="str">
        <f t="shared" si="109"/>
        <v>Mar</v>
      </c>
      <c r="Q1164" t="str">
        <f t="shared" si="110"/>
        <v>Q1</v>
      </c>
      <c r="R1164" s="5" t="str">
        <f t="shared" si="111"/>
        <v>Medium</v>
      </c>
      <c r="S1164" s="5" t="str">
        <f t="shared" si="112"/>
        <v>Completed</v>
      </c>
      <c r="T1164" s="5" t="str">
        <f t="shared" si="113"/>
        <v>Yes</v>
      </c>
    </row>
    <row r="1165" spans="1:20"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c r="O1165">
        <f t="shared" si="108"/>
        <v>918.87000000000012</v>
      </c>
      <c r="P1165" t="str">
        <f t="shared" si="109"/>
        <v>Jun</v>
      </c>
      <c r="Q1165" t="str">
        <f t="shared" si="110"/>
        <v>Q2</v>
      </c>
      <c r="R1165" s="5" t="str">
        <f t="shared" si="111"/>
        <v>Large</v>
      </c>
      <c r="S1165" s="5" t="str">
        <f t="shared" si="112"/>
        <v>Pending</v>
      </c>
      <c r="T1165" s="5" t="str">
        <f t="shared" si="113"/>
        <v>Yes</v>
      </c>
    </row>
    <row r="1166" spans="1:20"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c r="O1166">
        <f t="shared" si="108"/>
        <v>1577.85</v>
      </c>
      <c r="P1166" t="str">
        <f t="shared" si="109"/>
        <v>Jan</v>
      </c>
      <c r="Q1166" t="str">
        <f t="shared" si="110"/>
        <v>Q1</v>
      </c>
      <c r="R1166" s="5" t="str">
        <f t="shared" si="111"/>
        <v>Large</v>
      </c>
      <c r="S1166" s="5" t="str">
        <f t="shared" si="112"/>
        <v>Completed</v>
      </c>
      <c r="T1166" s="5" t="str">
        <f t="shared" si="113"/>
        <v>Yes</v>
      </c>
    </row>
    <row r="1167" spans="1:20" x14ac:dyDescent="0.35">
      <c r="A1167" t="s">
        <v>1179</v>
      </c>
      <c r="B1167" s="2">
        <v>45121</v>
      </c>
      <c r="C1167" t="s">
        <v>2368</v>
      </c>
      <c r="D1167" t="s">
        <v>2406</v>
      </c>
      <c r="E1167">
        <v>3</v>
      </c>
      <c r="F1167">
        <v>223.79</v>
      </c>
      <c r="G1167" t="s">
        <v>3051</v>
      </c>
      <c r="H1167" t="s">
        <v>3065</v>
      </c>
      <c r="I1167" t="s">
        <v>3074</v>
      </c>
      <c r="J1167" t="s">
        <v>4240</v>
      </c>
      <c r="K1167">
        <v>3</v>
      </c>
      <c r="L1167" t="s">
        <v>4329</v>
      </c>
      <c r="M1167" t="s">
        <v>4282</v>
      </c>
      <c r="N1167">
        <v>671.37</v>
      </c>
      <c r="O1167">
        <f t="shared" si="108"/>
        <v>671.37</v>
      </c>
      <c r="P1167" t="str">
        <f t="shared" si="109"/>
        <v>Jul</v>
      </c>
      <c r="Q1167" t="str">
        <f t="shared" si="110"/>
        <v>Q3</v>
      </c>
      <c r="R1167" s="5" t="str">
        <f t="shared" si="111"/>
        <v>Large</v>
      </c>
      <c r="S1167" s="5" t="str">
        <f t="shared" si="112"/>
        <v>Pending</v>
      </c>
      <c r="T1167" s="5" t="str">
        <f t="shared" si="113"/>
        <v>Yes</v>
      </c>
    </row>
    <row r="1168" spans="1:20"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c r="O1168">
        <f t="shared" si="108"/>
        <v>973.41000000000008</v>
      </c>
      <c r="P1168" t="str">
        <f t="shared" si="109"/>
        <v>Jul</v>
      </c>
      <c r="Q1168" t="str">
        <f t="shared" si="110"/>
        <v>Q3</v>
      </c>
      <c r="R1168" s="5" t="str">
        <f t="shared" si="111"/>
        <v>Large</v>
      </c>
      <c r="S1168" s="5" t="str">
        <f t="shared" si="112"/>
        <v>Completed</v>
      </c>
      <c r="T1168" s="5" t="str">
        <f t="shared" si="113"/>
        <v>Yes</v>
      </c>
    </row>
    <row r="1169" spans="1:20"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c r="O1169">
        <f t="shared" si="108"/>
        <v>185.74</v>
      </c>
      <c r="P1169" t="str">
        <f t="shared" si="109"/>
        <v>Oct</v>
      </c>
      <c r="Q1169" t="str">
        <f t="shared" si="110"/>
        <v>Q4</v>
      </c>
      <c r="R1169" s="5" t="str">
        <f t="shared" si="111"/>
        <v>Medium</v>
      </c>
      <c r="S1169" s="5" t="str">
        <f t="shared" si="112"/>
        <v>Pending</v>
      </c>
      <c r="T1169" s="5" t="str">
        <f t="shared" si="113"/>
        <v>Yes</v>
      </c>
    </row>
    <row r="1170" spans="1:20"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c r="O1170">
        <f t="shared" si="108"/>
        <v>662.84</v>
      </c>
      <c r="P1170" t="str">
        <f t="shared" si="109"/>
        <v>Apr</v>
      </c>
      <c r="Q1170" t="str">
        <f t="shared" si="110"/>
        <v>Q2</v>
      </c>
      <c r="R1170" s="5" t="str">
        <f t="shared" si="111"/>
        <v>Large</v>
      </c>
      <c r="S1170" s="5" t="str">
        <f t="shared" si="112"/>
        <v>Completed</v>
      </c>
      <c r="T1170" s="5" t="str">
        <f t="shared" si="113"/>
        <v>Yes</v>
      </c>
    </row>
    <row r="1171" spans="1:20"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c r="O1171">
        <f t="shared" si="108"/>
        <v>525.42999999999995</v>
      </c>
      <c r="P1171" t="str">
        <f t="shared" si="109"/>
        <v>Dec</v>
      </c>
      <c r="Q1171" t="str">
        <f t="shared" si="110"/>
        <v>Q4</v>
      </c>
      <c r="R1171" s="5" t="str">
        <f t="shared" si="111"/>
        <v>Large</v>
      </c>
      <c r="S1171" s="5" t="str">
        <f t="shared" si="112"/>
        <v>Pending</v>
      </c>
      <c r="T1171" s="5" t="str">
        <f t="shared" si="113"/>
        <v>Yes</v>
      </c>
    </row>
    <row r="1172" spans="1:20"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c r="O1172">
        <f t="shared" si="108"/>
        <v>1394.38</v>
      </c>
      <c r="P1172" t="str">
        <f t="shared" si="109"/>
        <v>Aug</v>
      </c>
      <c r="Q1172" t="str">
        <f t="shared" si="110"/>
        <v>Q3</v>
      </c>
      <c r="R1172" s="5" t="str">
        <f t="shared" si="111"/>
        <v>Large</v>
      </c>
      <c r="S1172" s="5" t="str">
        <f t="shared" si="112"/>
        <v>Pending</v>
      </c>
      <c r="T1172" s="5" t="str">
        <f t="shared" si="113"/>
        <v>Yes</v>
      </c>
    </row>
    <row r="1173" spans="1:20"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c r="O1173">
        <f t="shared" si="108"/>
        <v>2073.6</v>
      </c>
      <c r="P1173" t="str">
        <f t="shared" si="109"/>
        <v>Aug</v>
      </c>
      <c r="Q1173" t="str">
        <f t="shared" si="110"/>
        <v>Q3</v>
      </c>
      <c r="R1173" s="5" t="str">
        <f t="shared" si="111"/>
        <v>Large</v>
      </c>
      <c r="S1173" s="5" t="str">
        <f t="shared" si="112"/>
        <v>Completed</v>
      </c>
      <c r="T1173" s="5" t="str">
        <f t="shared" si="113"/>
        <v>Yes</v>
      </c>
    </row>
    <row r="1174" spans="1:20" x14ac:dyDescent="0.35">
      <c r="A1174" t="s">
        <v>1186</v>
      </c>
      <c r="B1174" s="2">
        <v>45692</v>
      </c>
      <c r="C1174" t="s">
        <v>2375</v>
      </c>
      <c r="D1174" t="s">
        <v>2409</v>
      </c>
      <c r="E1174">
        <v>3</v>
      </c>
      <c r="F1174">
        <v>131.96</v>
      </c>
      <c r="G1174" t="s">
        <v>2793</v>
      </c>
      <c r="H1174" t="s">
        <v>3067</v>
      </c>
      <c r="I1174" t="s">
        <v>3074</v>
      </c>
      <c r="J1174" t="s">
        <v>4247</v>
      </c>
      <c r="K1174">
        <v>8</v>
      </c>
      <c r="L1174" t="s">
        <v>4329</v>
      </c>
      <c r="M1174" t="s">
        <v>4278</v>
      </c>
      <c r="N1174">
        <v>395.88</v>
      </c>
      <c r="O1174">
        <f t="shared" si="108"/>
        <v>395.88</v>
      </c>
      <c r="P1174" t="str">
        <f t="shared" si="109"/>
        <v>Feb</v>
      </c>
      <c r="Q1174" t="str">
        <f t="shared" si="110"/>
        <v>Q1</v>
      </c>
      <c r="R1174" s="5" t="str">
        <f t="shared" si="111"/>
        <v>Medium</v>
      </c>
      <c r="S1174" s="5" t="str">
        <f t="shared" si="112"/>
        <v>Pending</v>
      </c>
      <c r="T1174" s="5" t="str">
        <f t="shared" si="113"/>
        <v>Yes</v>
      </c>
    </row>
    <row r="1175" spans="1:20"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c r="O1175">
        <f t="shared" si="108"/>
        <v>208.36</v>
      </c>
      <c r="P1175" t="str">
        <f t="shared" si="109"/>
        <v>Oct</v>
      </c>
      <c r="Q1175" t="str">
        <f t="shared" si="110"/>
        <v>Q4</v>
      </c>
      <c r="R1175" s="5" t="str">
        <f t="shared" si="111"/>
        <v>Medium</v>
      </c>
      <c r="S1175" s="5" t="str">
        <f t="shared" si="112"/>
        <v>Pending</v>
      </c>
      <c r="T1175" s="5" t="str">
        <f t="shared" si="113"/>
        <v>Yes</v>
      </c>
    </row>
    <row r="1176" spans="1:20"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c r="O1176">
        <f t="shared" si="108"/>
        <v>667.02</v>
      </c>
      <c r="P1176" t="str">
        <f t="shared" si="109"/>
        <v>Nov</v>
      </c>
      <c r="Q1176" t="str">
        <f t="shared" si="110"/>
        <v>Q4</v>
      </c>
      <c r="R1176" s="5" t="str">
        <f t="shared" si="111"/>
        <v>Large</v>
      </c>
      <c r="S1176" s="5" t="str">
        <f t="shared" si="112"/>
        <v>Pending</v>
      </c>
      <c r="T1176" s="5" t="str">
        <f t="shared" si="113"/>
        <v>Yes</v>
      </c>
    </row>
    <row r="1177" spans="1:20"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c r="O1177">
        <f t="shared" si="108"/>
        <v>275.21999999999997</v>
      </c>
      <c r="P1177" t="str">
        <f t="shared" si="109"/>
        <v>Sep</v>
      </c>
      <c r="Q1177" t="str">
        <f t="shared" si="110"/>
        <v>Q3</v>
      </c>
      <c r="R1177" s="5" t="str">
        <f t="shared" si="111"/>
        <v>Medium</v>
      </c>
      <c r="S1177" s="5" t="str">
        <f t="shared" si="112"/>
        <v>Pending</v>
      </c>
      <c r="T1177" s="5" t="str">
        <f t="shared" si="113"/>
        <v>Yes</v>
      </c>
    </row>
    <row r="1178" spans="1:20"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c r="O1178">
        <f t="shared" si="108"/>
        <v>427.66</v>
      </c>
      <c r="P1178" t="str">
        <f t="shared" si="109"/>
        <v>Aug</v>
      </c>
      <c r="Q1178" t="str">
        <f t="shared" si="110"/>
        <v>Q3</v>
      </c>
      <c r="R1178" s="5" t="str">
        <f t="shared" si="111"/>
        <v>Medium</v>
      </c>
      <c r="S1178" s="5" t="str">
        <f t="shared" si="112"/>
        <v>Pending</v>
      </c>
      <c r="T1178" s="5" t="str">
        <f t="shared" si="113"/>
        <v>Yes</v>
      </c>
    </row>
    <row r="1179" spans="1:20"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c r="O1179">
        <f t="shared" si="108"/>
        <v>127.55</v>
      </c>
      <c r="P1179" t="str">
        <f t="shared" si="109"/>
        <v>Apr</v>
      </c>
      <c r="Q1179" t="str">
        <f t="shared" si="110"/>
        <v>Q2</v>
      </c>
      <c r="R1179" s="5" t="str">
        <f t="shared" si="111"/>
        <v>Medium</v>
      </c>
      <c r="S1179" s="5" t="str">
        <f t="shared" si="112"/>
        <v>Pending</v>
      </c>
      <c r="T1179" s="5" t="str">
        <f t="shared" si="113"/>
        <v>Yes</v>
      </c>
    </row>
    <row r="1180" spans="1:20"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c r="O1180">
        <f t="shared" si="108"/>
        <v>70.239999999999995</v>
      </c>
      <c r="P1180" t="str">
        <f t="shared" si="109"/>
        <v>Sep</v>
      </c>
      <c r="Q1180" t="str">
        <f t="shared" si="110"/>
        <v>Q3</v>
      </c>
      <c r="R1180" s="5" t="str">
        <f t="shared" si="111"/>
        <v>Small</v>
      </c>
      <c r="S1180" s="5" t="str">
        <f t="shared" si="112"/>
        <v>Pending</v>
      </c>
      <c r="T1180" s="5" t="str">
        <f t="shared" si="113"/>
        <v>Yes</v>
      </c>
    </row>
    <row r="1181" spans="1:20"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c r="O1181">
        <f t="shared" si="108"/>
        <v>2592.75</v>
      </c>
      <c r="P1181" t="str">
        <f t="shared" si="109"/>
        <v>Jan</v>
      </c>
      <c r="Q1181" t="str">
        <f t="shared" si="110"/>
        <v>Q1</v>
      </c>
      <c r="R1181" s="5" t="str">
        <f t="shared" si="111"/>
        <v>Large</v>
      </c>
      <c r="S1181" s="5" t="str">
        <f t="shared" si="112"/>
        <v>Pending</v>
      </c>
      <c r="T1181" s="5" t="str">
        <f t="shared" si="113"/>
        <v>Yes</v>
      </c>
    </row>
    <row r="1182" spans="1:20"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c r="O1182">
        <f t="shared" si="108"/>
        <v>1193.44</v>
      </c>
      <c r="P1182" t="str">
        <f t="shared" si="109"/>
        <v>Oct</v>
      </c>
      <c r="Q1182" t="str">
        <f t="shared" si="110"/>
        <v>Q4</v>
      </c>
      <c r="R1182" s="5" t="str">
        <f t="shared" si="111"/>
        <v>Large</v>
      </c>
      <c r="S1182" s="5" t="str">
        <f t="shared" si="112"/>
        <v>Pending</v>
      </c>
      <c r="T1182" s="5" t="str">
        <f t="shared" si="113"/>
        <v>Yes</v>
      </c>
    </row>
    <row r="1183" spans="1:20"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c r="O1183">
        <f t="shared" si="108"/>
        <v>476.22</v>
      </c>
      <c r="P1183" t="str">
        <f t="shared" si="109"/>
        <v>Jul</v>
      </c>
      <c r="Q1183" t="str">
        <f t="shared" si="110"/>
        <v>Q3</v>
      </c>
      <c r="R1183" s="5" t="str">
        <f t="shared" si="111"/>
        <v>Medium</v>
      </c>
      <c r="S1183" s="5" t="str">
        <f t="shared" si="112"/>
        <v>Pending</v>
      </c>
      <c r="T1183" s="5" t="str">
        <f t="shared" si="113"/>
        <v>Yes</v>
      </c>
    </row>
    <row r="1184" spans="1:20"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c r="O1184">
        <f t="shared" si="108"/>
        <v>840.58</v>
      </c>
      <c r="P1184" t="str">
        <f t="shared" si="109"/>
        <v>Jun</v>
      </c>
      <c r="Q1184" t="str">
        <f t="shared" si="110"/>
        <v>Q2</v>
      </c>
      <c r="R1184" s="5" t="str">
        <f t="shared" si="111"/>
        <v>Large</v>
      </c>
      <c r="S1184" s="5" t="str">
        <f t="shared" si="112"/>
        <v>Pending</v>
      </c>
      <c r="T1184" s="5" t="str">
        <f t="shared" si="113"/>
        <v>Yes</v>
      </c>
    </row>
    <row r="1185" spans="1:20"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c r="O1185">
        <f t="shared" si="108"/>
        <v>281.52</v>
      </c>
      <c r="P1185" t="str">
        <f t="shared" si="109"/>
        <v>Apr</v>
      </c>
      <c r="Q1185" t="str">
        <f t="shared" si="110"/>
        <v>Q2</v>
      </c>
      <c r="R1185" s="5" t="str">
        <f t="shared" si="111"/>
        <v>Medium</v>
      </c>
      <c r="S1185" s="5" t="str">
        <f t="shared" si="112"/>
        <v>Pending</v>
      </c>
      <c r="T1185" s="5" t="str">
        <f t="shared" si="113"/>
        <v>Yes</v>
      </c>
    </row>
    <row r="1186" spans="1:20" x14ac:dyDescent="0.35">
      <c r="A1186" t="s">
        <v>1198</v>
      </c>
      <c r="B1186" s="2">
        <v>45196</v>
      </c>
      <c r="C1186" t="s">
        <v>2387</v>
      </c>
      <c r="D1186" t="s">
        <v>2408</v>
      </c>
      <c r="E1186">
        <v>1</v>
      </c>
      <c r="F1186">
        <v>204.08</v>
      </c>
      <c r="G1186" t="s">
        <v>2938</v>
      </c>
      <c r="H1186" t="s">
        <v>3068</v>
      </c>
      <c r="I1186" t="s">
        <v>3072</v>
      </c>
      <c r="J1186" t="s">
        <v>4259</v>
      </c>
      <c r="K1186">
        <v>4</v>
      </c>
      <c r="L1186" t="s">
        <v>4329</v>
      </c>
      <c r="M1186" t="s">
        <v>4282</v>
      </c>
      <c r="N1186">
        <v>204.08</v>
      </c>
      <c r="O1186">
        <f t="shared" si="108"/>
        <v>204.08</v>
      </c>
      <c r="P1186" t="str">
        <f t="shared" si="109"/>
        <v>Sep</v>
      </c>
      <c r="Q1186" t="str">
        <f t="shared" si="110"/>
        <v>Q3</v>
      </c>
      <c r="R1186" s="5" t="str">
        <f t="shared" si="111"/>
        <v>Medium</v>
      </c>
      <c r="S1186" s="5" t="str">
        <f t="shared" si="112"/>
        <v>Pending</v>
      </c>
      <c r="T1186" s="5" t="str">
        <f t="shared" si="113"/>
        <v>Yes</v>
      </c>
    </row>
    <row r="1187" spans="1:20"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c r="O1187">
        <f t="shared" si="108"/>
        <v>343.31</v>
      </c>
      <c r="P1187" t="str">
        <f t="shared" si="109"/>
        <v>Jul</v>
      </c>
      <c r="Q1187" t="str">
        <f t="shared" si="110"/>
        <v>Q3</v>
      </c>
      <c r="R1187" s="5" t="str">
        <f t="shared" si="111"/>
        <v>Medium</v>
      </c>
      <c r="S1187" s="5" t="str">
        <f t="shared" si="112"/>
        <v>Pending</v>
      </c>
      <c r="T1187" s="5" t="str">
        <f t="shared" si="113"/>
        <v>Yes</v>
      </c>
    </row>
    <row r="1188" spans="1:20"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c r="O1188">
        <f t="shared" si="108"/>
        <v>163.32</v>
      </c>
      <c r="P1188" t="str">
        <f t="shared" si="109"/>
        <v>Nov</v>
      </c>
      <c r="Q1188" t="str">
        <f t="shared" si="110"/>
        <v>Q4</v>
      </c>
      <c r="R1188" s="5" t="str">
        <f t="shared" si="111"/>
        <v>Medium</v>
      </c>
      <c r="S1188" s="5" t="str">
        <f t="shared" si="112"/>
        <v>Pending</v>
      </c>
      <c r="T1188" s="5" t="str">
        <f t="shared" si="113"/>
        <v>Yes</v>
      </c>
    </row>
    <row r="1189" spans="1:20"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c r="O1189">
        <f t="shared" si="108"/>
        <v>369.2</v>
      </c>
      <c r="P1189" t="str">
        <f t="shared" si="109"/>
        <v>Mar</v>
      </c>
      <c r="Q1189" t="str">
        <f t="shared" si="110"/>
        <v>Q1</v>
      </c>
      <c r="R1189" s="5" t="str">
        <f t="shared" si="111"/>
        <v>Medium</v>
      </c>
      <c r="S1189" s="5" t="str">
        <f t="shared" si="112"/>
        <v>Completed</v>
      </c>
      <c r="T1189" s="5" t="str">
        <f t="shared" si="113"/>
        <v>Yes</v>
      </c>
    </row>
    <row r="1190" spans="1:20"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c r="O1190">
        <f t="shared" si="108"/>
        <v>742.58</v>
      </c>
      <c r="P1190" t="str">
        <f t="shared" si="109"/>
        <v>Oct</v>
      </c>
      <c r="Q1190" t="str">
        <f t="shared" si="110"/>
        <v>Q4</v>
      </c>
      <c r="R1190" s="5" t="str">
        <f t="shared" si="111"/>
        <v>Large</v>
      </c>
      <c r="S1190" s="5" t="str">
        <f t="shared" si="112"/>
        <v>Pending</v>
      </c>
      <c r="T1190" s="5" t="str">
        <f t="shared" si="113"/>
        <v>Yes</v>
      </c>
    </row>
    <row r="1191" spans="1:20" x14ac:dyDescent="0.35">
      <c r="A1191" t="s">
        <v>1203</v>
      </c>
      <c r="B1191" s="2">
        <v>45521</v>
      </c>
      <c r="C1191" t="s">
        <v>2392</v>
      </c>
      <c r="D1191" t="s">
        <v>2405</v>
      </c>
      <c r="E1191">
        <v>5</v>
      </c>
      <c r="F1191">
        <v>389.22</v>
      </c>
      <c r="G1191" t="s">
        <v>3060</v>
      </c>
      <c r="H1191" t="s">
        <v>3069</v>
      </c>
      <c r="I1191" t="s">
        <v>3071</v>
      </c>
      <c r="J1191" t="s">
        <v>4264</v>
      </c>
      <c r="K1191">
        <v>7</v>
      </c>
      <c r="L1191" t="s">
        <v>4329</v>
      </c>
      <c r="M1191" t="s">
        <v>4279</v>
      </c>
      <c r="N1191">
        <v>1946.1</v>
      </c>
      <c r="O1191">
        <f t="shared" si="108"/>
        <v>1946.1000000000001</v>
      </c>
      <c r="P1191" t="str">
        <f t="shared" si="109"/>
        <v>Aug</v>
      </c>
      <c r="Q1191" t="str">
        <f t="shared" si="110"/>
        <v>Q3</v>
      </c>
      <c r="R1191" s="5" t="str">
        <f t="shared" si="111"/>
        <v>Large</v>
      </c>
      <c r="S1191" s="5" t="str">
        <f t="shared" si="112"/>
        <v>Pending</v>
      </c>
      <c r="T1191" s="5" t="str">
        <f t="shared" si="113"/>
        <v>Yes</v>
      </c>
    </row>
    <row r="1192" spans="1:20"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c r="O1192">
        <f t="shared" si="108"/>
        <v>1849.17</v>
      </c>
      <c r="P1192" t="str">
        <f t="shared" si="109"/>
        <v>Jun</v>
      </c>
      <c r="Q1192" t="str">
        <f t="shared" si="110"/>
        <v>Q2</v>
      </c>
      <c r="R1192" s="5" t="str">
        <f t="shared" si="111"/>
        <v>Large</v>
      </c>
      <c r="S1192" s="5" t="str">
        <f t="shared" si="112"/>
        <v>Pending</v>
      </c>
      <c r="T1192" s="5" t="str">
        <f t="shared" si="113"/>
        <v>Yes</v>
      </c>
    </row>
    <row r="1193" spans="1:20"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c r="O1193">
        <f t="shared" si="108"/>
        <v>1505.72</v>
      </c>
      <c r="P1193" t="str">
        <f t="shared" si="109"/>
        <v>Feb</v>
      </c>
      <c r="Q1193" t="str">
        <f t="shared" si="110"/>
        <v>Q1</v>
      </c>
      <c r="R1193" s="5" t="str">
        <f t="shared" si="111"/>
        <v>Large</v>
      </c>
      <c r="S1193" s="5" t="str">
        <f t="shared" si="112"/>
        <v>Pending</v>
      </c>
      <c r="T1193" s="5" t="str">
        <f t="shared" si="113"/>
        <v>Yes</v>
      </c>
    </row>
    <row r="1194" spans="1:20" x14ac:dyDescent="0.35">
      <c r="A1194" t="s">
        <v>1206</v>
      </c>
      <c r="B1194" s="2">
        <v>45350</v>
      </c>
      <c r="C1194" t="s">
        <v>2395</v>
      </c>
      <c r="D1194" t="s">
        <v>2406</v>
      </c>
      <c r="E1194">
        <v>3</v>
      </c>
      <c r="F1194">
        <v>432.85</v>
      </c>
      <c r="G1194" t="s">
        <v>2593</v>
      </c>
      <c r="H1194" t="s">
        <v>3066</v>
      </c>
      <c r="I1194" t="s">
        <v>3074</v>
      </c>
      <c r="J1194" t="s">
        <v>4267</v>
      </c>
      <c r="K1194">
        <v>4</v>
      </c>
      <c r="L1194" t="s">
        <v>4329</v>
      </c>
      <c r="M1194" t="s">
        <v>4278</v>
      </c>
      <c r="N1194">
        <v>1298.55</v>
      </c>
      <c r="O1194">
        <f t="shared" si="108"/>
        <v>1298.5500000000002</v>
      </c>
      <c r="P1194" t="str">
        <f t="shared" si="109"/>
        <v>Feb</v>
      </c>
      <c r="Q1194" t="str">
        <f t="shared" si="110"/>
        <v>Q1</v>
      </c>
      <c r="R1194" s="5" t="str">
        <f t="shared" si="111"/>
        <v>Large</v>
      </c>
      <c r="S1194" s="5" t="str">
        <f t="shared" si="112"/>
        <v>Pending</v>
      </c>
      <c r="T1194" s="5" t="str">
        <f t="shared" si="113"/>
        <v>Yes</v>
      </c>
    </row>
    <row r="1195" spans="1:20"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c r="O1195">
        <f t="shared" si="108"/>
        <v>687.89</v>
      </c>
      <c r="P1195" t="str">
        <f t="shared" si="109"/>
        <v>Jun</v>
      </c>
      <c r="Q1195" t="str">
        <f t="shared" si="110"/>
        <v>Q2</v>
      </c>
      <c r="R1195" s="5" t="str">
        <f t="shared" si="111"/>
        <v>Large</v>
      </c>
      <c r="S1195" s="5" t="str">
        <f t="shared" si="112"/>
        <v>Pending</v>
      </c>
      <c r="T1195" s="5" t="str">
        <f t="shared" si="113"/>
        <v>Yes</v>
      </c>
    </row>
    <row r="1196" spans="1:20"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c r="O1196">
        <f t="shared" si="108"/>
        <v>568.31999999999994</v>
      </c>
      <c r="P1196" t="str">
        <f t="shared" si="109"/>
        <v>Nov</v>
      </c>
      <c r="Q1196" t="str">
        <f t="shared" si="110"/>
        <v>Q4</v>
      </c>
      <c r="R1196" s="5" t="str">
        <f t="shared" si="111"/>
        <v>Large</v>
      </c>
      <c r="S1196" s="5" t="str">
        <f t="shared" si="112"/>
        <v>Pending</v>
      </c>
      <c r="T1196" s="5" t="str">
        <f t="shared" si="113"/>
        <v>Yes</v>
      </c>
    </row>
    <row r="1197" spans="1:20"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c r="O1197">
        <f t="shared" si="108"/>
        <v>107.04</v>
      </c>
      <c r="P1197" t="str">
        <f t="shared" si="109"/>
        <v>Jun</v>
      </c>
      <c r="Q1197" t="str">
        <f t="shared" si="110"/>
        <v>Q2</v>
      </c>
      <c r="R1197" s="5" t="str">
        <f t="shared" si="111"/>
        <v>Medium</v>
      </c>
      <c r="S1197" s="5" t="str">
        <f t="shared" si="112"/>
        <v>Pending</v>
      </c>
      <c r="T1197" s="5" t="str">
        <f t="shared" si="113"/>
        <v>Yes</v>
      </c>
    </row>
    <row r="1198" spans="1:20" x14ac:dyDescent="0.35">
      <c r="A1198" t="s">
        <v>1210</v>
      </c>
      <c r="B1198" s="2">
        <v>45355</v>
      </c>
      <c r="C1198" t="s">
        <v>2399</v>
      </c>
      <c r="D1198" t="s">
        <v>2403</v>
      </c>
      <c r="E1198">
        <v>2</v>
      </c>
      <c r="F1198">
        <v>662.53</v>
      </c>
      <c r="G1198" t="s">
        <v>2730</v>
      </c>
      <c r="H1198" t="s">
        <v>3066</v>
      </c>
      <c r="I1198" t="s">
        <v>3071</v>
      </c>
      <c r="J1198" t="s">
        <v>4271</v>
      </c>
      <c r="K1198">
        <v>5</v>
      </c>
      <c r="L1198" t="s">
        <v>4329</v>
      </c>
      <c r="M1198" t="s">
        <v>4281</v>
      </c>
      <c r="N1198">
        <v>1325.06</v>
      </c>
      <c r="O1198">
        <f t="shared" si="108"/>
        <v>1325.06</v>
      </c>
      <c r="P1198" t="str">
        <f t="shared" si="109"/>
        <v>Mar</v>
      </c>
      <c r="Q1198" t="str">
        <f t="shared" si="110"/>
        <v>Q1</v>
      </c>
      <c r="R1198" s="5" t="str">
        <f t="shared" si="111"/>
        <v>Large</v>
      </c>
      <c r="S1198" s="5" t="str">
        <f t="shared" si="112"/>
        <v>Pending</v>
      </c>
      <c r="T1198" s="5" t="str">
        <f t="shared" si="113"/>
        <v>Yes</v>
      </c>
    </row>
    <row r="1199" spans="1:20"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c r="O1199">
        <f t="shared" si="108"/>
        <v>873.68</v>
      </c>
      <c r="P1199" t="str">
        <f t="shared" si="109"/>
        <v>Jul</v>
      </c>
      <c r="Q1199" t="str">
        <f t="shared" si="110"/>
        <v>Q3</v>
      </c>
      <c r="R1199" s="5" t="str">
        <f t="shared" si="111"/>
        <v>Large</v>
      </c>
      <c r="S1199" s="5" t="str">
        <f t="shared" si="112"/>
        <v>Completed</v>
      </c>
      <c r="T1199" s="5" t="str">
        <f t="shared" si="113"/>
        <v>Yes</v>
      </c>
    </row>
    <row r="1200" spans="1:20"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c r="O1200">
        <f t="shared" si="108"/>
        <v>1050.08</v>
      </c>
      <c r="P1200" t="str">
        <f t="shared" si="109"/>
        <v>Aug</v>
      </c>
      <c r="Q1200" t="str">
        <f t="shared" si="110"/>
        <v>Q3</v>
      </c>
      <c r="R1200" s="5" t="str">
        <f t="shared" si="111"/>
        <v>Large</v>
      </c>
      <c r="S1200" s="5" t="str">
        <f t="shared" si="112"/>
        <v>Pending</v>
      </c>
      <c r="T1200" s="5" t="str">
        <f t="shared" si="113"/>
        <v>Yes</v>
      </c>
    </row>
    <row r="1201" spans="1:20"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c r="O1201">
        <f t="shared" si="108"/>
        <v>2242.3200000000002</v>
      </c>
      <c r="P1201" t="str">
        <f t="shared" si="109"/>
        <v>Jun</v>
      </c>
      <c r="Q1201" t="str">
        <f t="shared" si="110"/>
        <v>Q2</v>
      </c>
      <c r="R1201" s="5" t="str">
        <f t="shared" si="111"/>
        <v>Large</v>
      </c>
      <c r="S1201" s="5" t="str">
        <f t="shared" si="112"/>
        <v>Pending</v>
      </c>
      <c r="T1201" s="5" t="str">
        <f t="shared" si="113"/>
        <v>Yes</v>
      </c>
    </row>
  </sheetData>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5"/>
  <sheetViews>
    <sheetView tabSelected="1" zoomScale="88" zoomScaleNormal="88" workbookViewId="0">
      <selection activeCell="L10" sqref="L10"/>
    </sheetView>
  </sheetViews>
  <sheetFormatPr defaultRowHeight="14.5" x14ac:dyDescent="0.35"/>
  <cols>
    <col min="1" max="1" width="18.36328125" customWidth="1"/>
    <col min="2" max="2" width="14.81640625" style="8" bestFit="1" customWidth="1"/>
    <col min="4" max="4" width="18.36328125" customWidth="1"/>
    <col min="5" max="5" width="14.81640625" customWidth="1"/>
    <col min="7" max="7" width="18.26953125" customWidth="1"/>
    <col min="8" max="8" width="16.36328125" bestFit="1" customWidth="1"/>
  </cols>
  <sheetData>
    <row r="2" spans="1:8" x14ac:dyDescent="0.35">
      <c r="A2" t="s">
        <v>4302</v>
      </c>
      <c r="D2" t="s">
        <v>4303</v>
      </c>
      <c r="G2" t="s">
        <v>4305</v>
      </c>
    </row>
    <row r="3" spans="1:8" x14ac:dyDescent="0.35">
      <c r="A3" s="6" t="s">
        <v>3</v>
      </c>
      <c r="B3" s="8" t="s">
        <v>4301</v>
      </c>
      <c r="D3" s="6" t="s">
        <v>4294</v>
      </c>
      <c r="E3" t="s">
        <v>4304</v>
      </c>
      <c r="G3" s="6" t="s">
        <v>4294</v>
      </c>
      <c r="H3" t="s">
        <v>4304</v>
      </c>
    </row>
    <row r="4" spans="1:8" x14ac:dyDescent="0.35">
      <c r="A4" s="7" t="s">
        <v>2406</v>
      </c>
      <c r="B4" s="8">
        <v>195620.11000000002</v>
      </c>
      <c r="D4" s="7" t="s">
        <v>3069</v>
      </c>
      <c r="E4" s="5">
        <v>246</v>
      </c>
      <c r="G4" s="7" t="s">
        <v>3071</v>
      </c>
      <c r="H4" s="5">
        <v>250</v>
      </c>
    </row>
    <row r="5" spans="1:8" x14ac:dyDescent="0.35">
      <c r="A5" s="7" t="s">
        <v>2409</v>
      </c>
      <c r="B5" s="8">
        <v>167459.93</v>
      </c>
      <c r="D5" s="7" t="s">
        <v>3067</v>
      </c>
      <c r="E5" s="5">
        <v>234</v>
      </c>
      <c r="G5" s="7" t="s">
        <v>3073</v>
      </c>
      <c r="H5" s="5">
        <v>231</v>
      </c>
    </row>
    <row r="6" spans="1:8" x14ac:dyDescent="0.35">
      <c r="A6" s="7" t="s">
        <v>2408</v>
      </c>
      <c r="B6" s="8">
        <v>192126.55999999994</v>
      </c>
      <c r="D6" s="7" t="s">
        <v>3065</v>
      </c>
      <c r="E6" s="5">
        <v>232</v>
      </c>
      <c r="G6" s="7" t="s">
        <v>3074</v>
      </c>
      <c r="H6" s="5">
        <v>237</v>
      </c>
    </row>
    <row r="7" spans="1:8" x14ac:dyDescent="0.35">
      <c r="A7" s="7" t="s">
        <v>2403</v>
      </c>
      <c r="B7" s="8">
        <v>175651.40999999997</v>
      </c>
      <c r="D7" s="7" t="s">
        <v>3068</v>
      </c>
      <c r="E7" s="5">
        <v>230</v>
      </c>
      <c r="G7" s="7" t="s">
        <v>3072</v>
      </c>
      <c r="H7" s="5">
        <v>247</v>
      </c>
    </row>
    <row r="8" spans="1:8" x14ac:dyDescent="0.35">
      <c r="A8" s="7" t="s">
        <v>2404</v>
      </c>
      <c r="B8" s="8">
        <v>151722.39000000001</v>
      </c>
      <c r="D8" s="7" t="s">
        <v>3066</v>
      </c>
      <c r="E8" s="5">
        <v>258</v>
      </c>
      <c r="G8" s="7" t="s">
        <v>3070</v>
      </c>
      <c r="H8" s="5">
        <v>235</v>
      </c>
    </row>
    <row r="9" spans="1:8" x14ac:dyDescent="0.35">
      <c r="A9" s="7" t="s">
        <v>2407</v>
      </c>
      <c r="B9" s="8">
        <v>195612.60999999996</v>
      </c>
      <c r="D9" s="7" t="s">
        <v>4300</v>
      </c>
      <c r="E9" s="5">
        <v>1200</v>
      </c>
      <c r="G9" s="7" t="s">
        <v>4300</v>
      </c>
      <c r="H9" s="5">
        <v>1200</v>
      </c>
    </row>
    <row r="10" spans="1:8" x14ac:dyDescent="0.35">
      <c r="A10" s="7" t="s">
        <v>2405</v>
      </c>
      <c r="B10" s="8">
        <v>186568.95000000007</v>
      </c>
    </row>
    <row r="11" spans="1:8" x14ac:dyDescent="0.35">
      <c r="A11" s="7" t="s">
        <v>4300</v>
      </c>
      <c r="B11" s="8">
        <v>1264761.96</v>
      </c>
      <c r="D11" t="s">
        <v>4307</v>
      </c>
    </row>
    <row r="12" spans="1:8" x14ac:dyDescent="0.35">
      <c r="D12" s="6" t="s">
        <v>4294</v>
      </c>
      <c r="E12" s="8" t="s">
        <v>4301</v>
      </c>
      <c r="G12" t="s">
        <v>4322</v>
      </c>
    </row>
    <row r="13" spans="1:8" x14ac:dyDescent="0.35">
      <c r="A13" t="s">
        <v>4306</v>
      </c>
      <c r="D13" s="7" t="s">
        <v>4308</v>
      </c>
      <c r="E13" s="8">
        <v>124313.23000000005</v>
      </c>
      <c r="G13" s="8">
        <v>1264761.9600000004</v>
      </c>
      <c r="H13" s="8">
        <f>G13</f>
        <v>1264761.9600000004</v>
      </c>
    </row>
    <row r="14" spans="1:8" x14ac:dyDescent="0.35">
      <c r="A14" s="6" t="s">
        <v>4294</v>
      </c>
      <c r="B14" s="8" t="s">
        <v>4301</v>
      </c>
      <c r="D14" s="7" t="s">
        <v>4309</v>
      </c>
      <c r="E14" s="8">
        <v>112344.77999999998</v>
      </c>
    </row>
    <row r="15" spans="1:8" x14ac:dyDescent="0.35">
      <c r="A15" s="7" t="s">
        <v>4280</v>
      </c>
      <c r="B15" s="8">
        <v>261808.55000000002</v>
      </c>
      <c r="D15" s="7" t="s">
        <v>4310</v>
      </c>
      <c r="E15" s="8">
        <v>123840.92999999995</v>
      </c>
      <c r="G15" t="s">
        <v>4321</v>
      </c>
    </row>
    <row r="16" spans="1:8" x14ac:dyDescent="0.35">
      <c r="A16" s="7" t="s">
        <v>4281</v>
      </c>
      <c r="B16" s="8">
        <v>250410.9</v>
      </c>
      <c r="D16" s="7" t="s">
        <v>4311</v>
      </c>
      <c r="E16" s="8">
        <v>109186.05</v>
      </c>
      <c r="G16" s="5">
        <v>1200</v>
      </c>
      <c r="H16">
        <f>G16</f>
        <v>1200</v>
      </c>
    </row>
    <row r="17" spans="1:8" x14ac:dyDescent="0.35">
      <c r="A17" s="7" t="s">
        <v>4282</v>
      </c>
      <c r="B17" s="8">
        <v>250441.47999999998</v>
      </c>
      <c r="D17" s="7" t="s">
        <v>4312</v>
      </c>
      <c r="E17" s="8">
        <v>135142.59</v>
      </c>
    </row>
    <row r="18" spans="1:8" x14ac:dyDescent="0.35">
      <c r="A18" s="7" t="s">
        <v>4278</v>
      </c>
      <c r="B18" s="8">
        <v>275285.45000000007</v>
      </c>
      <c r="D18" s="7" t="s">
        <v>4313</v>
      </c>
      <c r="E18" s="8">
        <v>170616.13000000006</v>
      </c>
      <c r="G18" t="s">
        <v>4320</v>
      </c>
    </row>
    <row r="19" spans="1:8" x14ac:dyDescent="0.35">
      <c r="A19" s="7" t="s">
        <v>4279</v>
      </c>
      <c r="B19" s="8">
        <v>226815.5799999999</v>
      </c>
      <c r="D19" s="7" t="s">
        <v>4314</v>
      </c>
      <c r="E19" s="8">
        <v>85784.63999999997</v>
      </c>
      <c r="G19" s="8">
        <v>1053.9683000000005</v>
      </c>
      <c r="H19" s="8">
        <f>G19</f>
        <v>1053.9683000000005</v>
      </c>
    </row>
    <row r="20" spans="1:8" x14ac:dyDescent="0.35">
      <c r="A20" s="7" t="s">
        <v>4300</v>
      </c>
      <c r="B20" s="8">
        <v>1264761.96</v>
      </c>
      <c r="D20" s="7" t="s">
        <v>4315</v>
      </c>
      <c r="E20" s="8">
        <v>86343.210000000036</v>
      </c>
    </row>
    <row r="21" spans="1:8" x14ac:dyDescent="0.35">
      <c r="D21" s="7" t="s">
        <v>4316</v>
      </c>
      <c r="E21" s="8">
        <v>69321.650000000023</v>
      </c>
    </row>
    <row r="22" spans="1:8" x14ac:dyDescent="0.35">
      <c r="D22" s="7" t="s">
        <v>4317</v>
      </c>
      <c r="E22" s="8">
        <v>89834.820000000022</v>
      </c>
    </row>
    <row r="23" spans="1:8" x14ac:dyDescent="0.35">
      <c r="D23" s="7" t="s">
        <v>4318</v>
      </c>
      <c r="E23" s="8">
        <v>75493.430000000008</v>
      </c>
    </row>
    <row r="24" spans="1:8" x14ac:dyDescent="0.35">
      <c r="D24" s="7" t="s">
        <v>4319</v>
      </c>
      <c r="E24" s="8">
        <v>82540.500000000015</v>
      </c>
    </row>
    <row r="25" spans="1:8" x14ac:dyDescent="0.35">
      <c r="D25" s="7" t="s">
        <v>4300</v>
      </c>
      <c r="E25" s="8">
        <v>1264761.96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5" zoomScaleNormal="55" workbookViewId="0">
      <selection activeCell="AC13" sqref="AC13"/>
    </sheetView>
  </sheetViews>
  <sheetFormatPr defaultRowHeight="14.5" x14ac:dyDescent="0.35"/>
  <cols>
    <col min="1" max="16384" width="8.726562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Table</vt:lpstr>
      <vt:lpstr>Pivot_Table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2025-06-21T13:19:12Z</dcterms:created>
  <dcterms:modified xsi:type="dcterms:W3CDTF">2026-05-23T23:17:29Z</dcterms:modified>
</cp:coreProperties>
</file>